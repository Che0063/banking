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thony\Nextcloud\Documents\"/>
    </mc:Choice>
  </mc:AlternateContent>
  <xr:revisionPtr revIDLastSave="0" documentId="13_ncr:1_{8914C342-F8F7-4618-8F22-775519EF7524}" xr6:coauthVersionLast="47" xr6:coauthVersionMax="47" xr10:uidLastSave="{00000000-0000-0000-0000-000000000000}"/>
  <bookViews>
    <workbookView xWindow="-105" yWindow="0" windowWidth="14610" windowHeight="15585" tabRatio="500" activeTab="1" xr2:uid="{00000000-000D-0000-FFFF-FFFF00000000}"/>
  </bookViews>
  <sheets>
    <sheet name="Analysis" sheetId="1" r:id="rId1"/>
    <sheet name="Transa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32" i="2" l="1"/>
  <c r="F233" i="2"/>
  <c r="E232" i="2"/>
  <c r="E233" i="2"/>
  <c r="D232" i="2"/>
  <c r="D233" i="2"/>
  <c r="J232" i="2"/>
  <c r="J233" i="2"/>
  <c r="J156" i="2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D156" i="2"/>
  <c r="F156" i="2" s="1"/>
  <c r="E156" i="2"/>
  <c r="D157" i="2"/>
  <c r="F157" i="2" s="1"/>
  <c r="E157" i="2"/>
  <c r="D158" i="2"/>
  <c r="F158" i="2" s="1"/>
  <c r="E158" i="2"/>
  <c r="D159" i="2"/>
  <c r="F159" i="2" s="1"/>
  <c r="E159" i="2"/>
  <c r="D160" i="2"/>
  <c r="F160" i="2" s="1"/>
  <c r="E160" i="2"/>
  <c r="D161" i="2"/>
  <c r="F161" i="2" s="1"/>
  <c r="E161" i="2"/>
  <c r="D162" i="2"/>
  <c r="F162" i="2" s="1"/>
  <c r="E162" i="2"/>
  <c r="D163" i="2"/>
  <c r="F163" i="2" s="1"/>
  <c r="E163" i="2"/>
  <c r="D164" i="2"/>
  <c r="F164" i="2" s="1"/>
  <c r="E164" i="2"/>
  <c r="D165" i="2"/>
  <c r="F165" i="2" s="1"/>
  <c r="E165" i="2"/>
  <c r="D166" i="2"/>
  <c r="F166" i="2" s="1"/>
  <c r="E166" i="2"/>
  <c r="D167" i="2"/>
  <c r="F167" i="2" s="1"/>
  <c r="E167" i="2"/>
  <c r="D168" i="2"/>
  <c r="F168" i="2" s="1"/>
  <c r="E168" i="2"/>
  <c r="D169" i="2"/>
  <c r="F169" i="2" s="1"/>
  <c r="E169" i="2"/>
  <c r="D170" i="2"/>
  <c r="F170" i="2" s="1"/>
  <c r="E170" i="2"/>
  <c r="D171" i="2"/>
  <c r="E171" i="2"/>
  <c r="F171" i="2"/>
  <c r="D172" i="2"/>
  <c r="F172" i="2" s="1"/>
  <c r="E172" i="2"/>
  <c r="D173" i="2"/>
  <c r="F173" i="2" s="1"/>
  <c r="E173" i="2"/>
  <c r="D174" i="2"/>
  <c r="F174" i="2" s="1"/>
  <c r="E174" i="2"/>
  <c r="D175" i="2"/>
  <c r="F175" i="2" s="1"/>
  <c r="E175" i="2"/>
  <c r="D176" i="2"/>
  <c r="F176" i="2" s="1"/>
  <c r="E176" i="2"/>
  <c r="D177" i="2"/>
  <c r="F177" i="2" s="1"/>
  <c r="E177" i="2"/>
  <c r="D178" i="2"/>
  <c r="F178" i="2" s="1"/>
  <c r="E178" i="2"/>
  <c r="D179" i="2"/>
  <c r="F179" i="2" s="1"/>
  <c r="E179" i="2"/>
  <c r="D180" i="2"/>
  <c r="F180" i="2" s="1"/>
  <c r="E180" i="2"/>
  <c r="E181" i="2"/>
  <c r="F181" i="2"/>
  <c r="D182" i="2"/>
  <c r="F182" i="2" s="1"/>
  <c r="E182" i="2"/>
  <c r="F183" i="2"/>
  <c r="E183" i="2"/>
  <c r="D184" i="2"/>
  <c r="F184" i="2" s="1"/>
  <c r="E184" i="2"/>
  <c r="D185" i="2"/>
  <c r="F185" i="2" s="1"/>
  <c r="E185" i="2"/>
  <c r="D186" i="2"/>
  <c r="E186" i="2"/>
  <c r="F186" i="2"/>
  <c r="D187" i="2"/>
  <c r="F187" i="2" s="1"/>
  <c r="E187" i="2"/>
  <c r="D188" i="2"/>
  <c r="F188" i="2" s="1"/>
  <c r="E188" i="2"/>
  <c r="D189" i="2"/>
  <c r="F189" i="2" s="1"/>
  <c r="E189" i="2"/>
  <c r="D190" i="2"/>
  <c r="F190" i="2" s="1"/>
  <c r="E190" i="2"/>
  <c r="D191" i="2"/>
  <c r="F191" i="2" s="1"/>
  <c r="E191" i="2"/>
  <c r="D192" i="2"/>
  <c r="F192" i="2" s="1"/>
  <c r="E192" i="2"/>
  <c r="D193" i="2"/>
  <c r="F193" i="2" s="1"/>
  <c r="E193" i="2"/>
  <c r="D194" i="2"/>
  <c r="F194" i="2" s="1"/>
  <c r="E194" i="2"/>
  <c r="D195" i="2"/>
  <c r="F195" i="2" s="1"/>
  <c r="E195" i="2"/>
  <c r="D196" i="2"/>
  <c r="F196" i="2" s="1"/>
  <c r="E196" i="2"/>
  <c r="D197" i="2"/>
  <c r="F197" i="2" s="1"/>
  <c r="E197" i="2"/>
  <c r="D198" i="2"/>
  <c r="F198" i="2" s="1"/>
  <c r="E198" i="2"/>
  <c r="D199" i="2"/>
  <c r="F199" i="2" s="1"/>
  <c r="E199" i="2"/>
  <c r="D200" i="2"/>
  <c r="F200" i="2" s="1"/>
  <c r="E200" i="2"/>
  <c r="D201" i="2"/>
  <c r="F201" i="2" s="1"/>
  <c r="E201" i="2"/>
  <c r="D202" i="2"/>
  <c r="F202" i="2" s="1"/>
  <c r="E202" i="2"/>
  <c r="D203" i="2"/>
  <c r="F203" i="2" s="1"/>
  <c r="E203" i="2"/>
  <c r="D204" i="2"/>
  <c r="F204" i="2" s="1"/>
  <c r="E204" i="2"/>
  <c r="D205" i="2"/>
  <c r="F205" i="2" s="1"/>
  <c r="E205" i="2"/>
  <c r="D206" i="2"/>
  <c r="F206" i="2" s="1"/>
  <c r="E206" i="2"/>
  <c r="D207" i="2"/>
  <c r="F207" i="2" s="1"/>
  <c r="E207" i="2"/>
  <c r="D208" i="2"/>
  <c r="F208" i="2" s="1"/>
  <c r="E208" i="2"/>
  <c r="D209" i="2"/>
  <c r="F209" i="2" s="1"/>
  <c r="E209" i="2"/>
  <c r="D210" i="2"/>
  <c r="F210" i="2" s="1"/>
  <c r="E210" i="2"/>
  <c r="D211" i="2"/>
  <c r="F211" i="2" s="1"/>
  <c r="E211" i="2"/>
  <c r="D212" i="2"/>
  <c r="F212" i="2" s="1"/>
  <c r="E212" i="2"/>
  <c r="D213" i="2"/>
  <c r="F213" i="2" s="1"/>
  <c r="E213" i="2"/>
  <c r="D214" i="2"/>
  <c r="F214" i="2" s="1"/>
  <c r="E214" i="2"/>
  <c r="D215" i="2"/>
  <c r="F215" i="2" s="1"/>
  <c r="E215" i="2"/>
  <c r="D216" i="2"/>
  <c r="F216" i="2" s="1"/>
  <c r="E216" i="2"/>
  <c r="D217" i="2"/>
  <c r="F217" i="2" s="1"/>
  <c r="E217" i="2"/>
  <c r="D218" i="2"/>
  <c r="E218" i="2"/>
  <c r="F218" i="2"/>
  <c r="D219" i="2"/>
  <c r="F219" i="2" s="1"/>
  <c r="E219" i="2"/>
  <c r="D220" i="2"/>
  <c r="F220" i="2" s="1"/>
  <c r="E220" i="2"/>
  <c r="D221" i="2"/>
  <c r="E221" i="2"/>
  <c r="F221" i="2"/>
  <c r="D222" i="2"/>
  <c r="F222" i="2" s="1"/>
  <c r="E222" i="2"/>
  <c r="D223" i="2"/>
  <c r="F223" i="2" s="1"/>
  <c r="E223" i="2"/>
  <c r="D224" i="2"/>
  <c r="F224" i="2" s="1"/>
  <c r="E224" i="2"/>
  <c r="D225" i="2"/>
  <c r="F225" i="2" s="1"/>
  <c r="E225" i="2"/>
  <c r="D226" i="2"/>
  <c r="F226" i="2" s="1"/>
  <c r="E226" i="2"/>
  <c r="D227" i="2"/>
  <c r="F227" i="2" s="1"/>
  <c r="E227" i="2"/>
  <c r="D228" i="2"/>
  <c r="F228" i="2" s="1"/>
  <c r="E228" i="2"/>
  <c r="D229" i="2"/>
  <c r="F229" i="2" s="1"/>
  <c r="E229" i="2"/>
  <c r="D230" i="2"/>
  <c r="F230" i="2" s="1"/>
  <c r="E230" i="2"/>
  <c r="D231" i="2"/>
  <c r="F231" i="2" s="1"/>
  <c r="E231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D4" i="2"/>
  <c r="F4" i="2" s="1"/>
  <c r="D5" i="2"/>
  <c r="F5" i="2" s="1"/>
  <c r="D6" i="2"/>
  <c r="F6" i="2" s="1"/>
  <c r="D7" i="2"/>
  <c r="F7" i="2" s="1"/>
  <c r="D8" i="2"/>
  <c r="F8" i="2" s="1"/>
  <c r="D9" i="2"/>
  <c r="F9" i="2" s="1"/>
  <c r="D10" i="2"/>
  <c r="F10" i="2" s="1"/>
  <c r="D11" i="2"/>
  <c r="F11" i="2" s="1"/>
  <c r="D12" i="2"/>
  <c r="F12" i="2" s="1"/>
  <c r="D13" i="2"/>
  <c r="F13" i="2" s="1"/>
  <c r="D14" i="2"/>
  <c r="F14" i="2" s="1"/>
  <c r="D15" i="2"/>
  <c r="F15" i="2" s="1"/>
  <c r="D16" i="2"/>
  <c r="F16" i="2" s="1"/>
  <c r="D17" i="2"/>
  <c r="F17" i="2" s="1"/>
  <c r="D18" i="2"/>
  <c r="F18" i="2" s="1"/>
  <c r="D19" i="2"/>
  <c r="F19" i="2" s="1"/>
  <c r="D20" i="2"/>
  <c r="F20" i="2" s="1"/>
  <c r="D21" i="2"/>
  <c r="F21" i="2" s="1"/>
  <c r="D22" i="2"/>
  <c r="F22" i="2" s="1"/>
  <c r="D23" i="2"/>
  <c r="F23" i="2" s="1"/>
  <c r="D24" i="2"/>
  <c r="F24" i="2" s="1"/>
  <c r="D25" i="2"/>
  <c r="F25" i="2" s="1"/>
  <c r="D26" i="2"/>
  <c r="F26" i="2" s="1"/>
  <c r="D27" i="2"/>
  <c r="F27" i="2" s="1"/>
  <c r="D28" i="2"/>
  <c r="F28" i="2" s="1"/>
  <c r="D29" i="2"/>
  <c r="F29" i="2" s="1"/>
  <c r="D30" i="2"/>
  <c r="F30" i="2" s="1"/>
  <c r="D31" i="2"/>
  <c r="F31" i="2" s="1"/>
  <c r="D32" i="2"/>
  <c r="F32" i="2" s="1"/>
  <c r="D33" i="2"/>
  <c r="F33" i="2" s="1"/>
  <c r="D34" i="2"/>
  <c r="F34" i="2" s="1"/>
  <c r="D35" i="2"/>
  <c r="F35" i="2" s="1"/>
  <c r="D36" i="2"/>
  <c r="F36" i="2" s="1"/>
  <c r="D37" i="2"/>
  <c r="F37" i="2" s="1"/>
  <c r="D38" i="2"/>
  <c r="F38" i="2" s="1"/>
  <c r="D39" i="2"/>
  <c r="F39" i="2" s="1"/>
  <c r="D40" i="2"/>
  <c r="F40" i="2" s="1"/>
  <c r="D41" i="2"/>
  <c r="F41" i="2" s="1"/>
  <c r="D42" i="2"/>
  <c r="F42" i="2" s="1"/>
  <c r="D43" i="2"/>
  <c r="F43" i="2" s="1"/>
  <c r="D44" i="2"/>
  <c r="F44" i="2" s="1"/>
  <c r="D45" i="2"/>
  <c r="F45" i="2" s="1"/>
  <c r="D46" i="2"/>
  <c r="F46" i="2" s="1"/>
  <c r="D47" i="2"/>
  <c r="F47" i="2" s="1"/>
  <c r="D48" i="2"/>
  <c r="F48" i="2" s="1"/>
  <c r="D49" i="2"/>
  <c r="F49" i="2" s="1"/>
  <c r="D50" i="2"/>
  <c r="F50" i="2" s="1"/>
  <c r="D51" i="2"/>
  <c r="F51" i="2" s="1"/>
  <c r="D52" i="2"/>
  <c r="F52" i="2" s="1"/>
  <c r="D53" i="2"/>
  <c r="F53" i="2" s="1"/>
  <c r="D54" i="2"/>
  <c r="F54" i="2" s="1"/>
  <c r="D55" i="2"/>
  <c r="F55" i="2" s="1"/>
  <c r="D56" i="2"/>
  <c r="F56" i="2" s="1"/>
  <c r="D57" i="2"/>
  <c r="F57" i="2" s="1"/>
  <c r="D58" i="2"/>
  <c r="F58" i="2" s="1"/>
  <c r="D59" i="2"/>
  <c r="F59" i="2" s="1"/>
  <c r="D60" i="2"/>
  <c r="F60" i="2" s="1"/>
  <c r="D61" i="2"/>
  <c r="F61" i="2" s="1"/>
  <c r="D62" i="2"/>
  <c r="F62" i="2" s="1"/>
  <c r="D63" i="2"/>
  <c r="F63" i="2" s="1"/>
  <c r="D64" i="2"/>
  <c r="F64" i="2" s="1"/>
  <c r="D65" i="2"/>
  <c r="F65" i="2" s="1"/>
  <c r="D66" i="2"/>
  <c r="F66" i="2" s="1"/>
  <c r="D67" i="2"/>
  <c r="F67" i="2" s="1"/>
  <c r="D68" i="2"/>
  <c r="F68" i="2" s="1"/>
  <c r="D69" i="2"/>
  <c r="F69" i="2" s="1"/>
  <c r="D70" i="2"/>
  <c r="F70" i="2" s="1"/>
  <c r="D71" i="2"/>
  <c r="F71" i="2" s="1"/>
  <c r="D72" i="2"/>
  <c r="F72" i="2" s="1"/>
  <c r="D73" i="2"/>
  <c r="F73" i="2" s="1"/>
  <c r="D74" i="2"/>
  <c r="F74" i="2" s="1"/>
  <c r="D75" i="2"/>
  <c r="F75" i="2" s="1"/>
  <c r="D76" i="2"/>
  <c r="F76" i="2" s="1"/>
  <c r="D77" i="2"/>
  <c r="F77" i="2" s="1"/>
  <c r="D78" i="2"/>
  <c r="F78" i="2" s="1"/>
  <c r="D79" i="2"/>
  <c r="F79" i="2" s="1"/>
  <c r="D80" i="2"/>
  <c r="F80" i="2" s="1"/>
  <c r="D81" i="2"/>
  <c r="F81" i="2" s="1"/>
  <c r="D82" i="2"/>
  <c r="F82" i="2" s="1"/>
  <c r="D83" i="2"/>
  <c r="F83" i="2" s="1"/>
  <c r="D84" i="2"/>
  <c r="F84" i="2" s="1"/>
  <c r="D85" i="2"/>
  <c r="F85" i="2" s="1"/>
  <c r="D86" i="2"/>
  <c r="F86" i="2" s="1"/>
  <c r="D87" i="2"/>
  <c r="F87" i="2" s="1"/>
  <c r="D88" i="2"/>
  <c r="F88" i="2" s="1"/>
  <c r="D89" i="2"/>
  <c r="F89" i="2" s="1"/>
  <c r="D90" i="2"/>
  <c r="F90" i="2" s="1"/>
  <c r="D91" i="2"/>
  <c r="F91" i="2" s="1"/>
  <c r="D92" i="2"/>
  <c r="F92" i="2" s="1"/>
  <c r="D93" i="2"/>
  <c r="F93" i="2" s="1"/>
  <c r="D94" i="2"/>
  <c r="F94" i="2" s="1"/>
  <c r="D95" i="2"/>
  <c r="F95" i="2" s="1"/>
  <c r="D96" i="2"/>
  <c r="F96" i="2" s="1"/>
  <c r="D97" i="2"/>
  <c r="F97" i="2" s="1"/>
  <c r="D98" i="2"/>
  <c r="F98" i="2" s="1"/>
  <c r="D99" i="2"/>
  <c r="F99" i="2" s="1"/>
  <c r="D100" i="2"/>
  <c r="F100" i="2" s="1"/>
  <c r="D101" i="2"/>
  <c r="F101" i="2" s="1"/>
  <c r="D102" i="2"/>
  <c r="F102" i="2" s="1"/>
  <c r="D103" i="2"/>
  <c r="F103" i="2" s="1"/>
  <c r="D104" i="2"/>
  <c r="F104" i="2" s="1"/>
  <c r="D105" i="2"/>
  <c r="F105" i="2" s="1"/>
  <c r="D106" i="2"/>
  <c r="F106" i="2" s="1"/>
  <c r="D107" i="2"/>
  <c r="F107" i="2" s="1"/>
  <c r="D108" i="2"/>
  <c r="F108" i="2" s="1"/>
  <c r="D109" i="2"/>
  <c r="F109" i="2" s="1"/>
  <c r="D110" i="2"/>
  <c r="F110" i="2" s="1"/>
  <c r="D111" i="2"/>
  <c r="F111" i="2" s="1"/>
  <c r="D112" i="2"/>
  <c r="F112" i="2" s="1"/>
  <c r="D113" i="2"/>
  <c r="F113" i="2" s="1"/>
  <c r="D114" i="2"/>
  <c r="F114" i="2" s="1"/>
  <c r="D115" i="2"/>
  <c r="F115" i="2" s="1"/>
  <c r="D116" i="2"/>
  <c r="F116" i="2" s="1"/>
  <c r="D117" i="2"/>
  <c r="F117" i="2" s="1"/>
  <c r="D118" i="2"/>
  <c r="F118" i="2" s="1"/>
  <c r="D119" i="2"/>
  <c r="F119" i="2" s="1"/>
  <c r="D120" i="2"/>
  <c r="F120" i="2" s="1"/>
  <c r="D121" i="2"/>
  <c r="F121" i="2" s="1"/>
  <c r="D122" i="2"/>
  <c r="F122" i="2" s="1"/>
  <c r="D123" i="2"/>
  <c r="F123" i="2" s="1"/>
  <c r="D124" i="2"/>
  <c r="F124" i="2" s="1"/>
  <c r="D125" i="2"/>
  <c r="F125" i="2" s="1"/>
  <c r="D126" i="2"/>
  <c r="F126" i="2" s="1"/>
  <c r="D127" i="2"/>
  <c r="F127" i="2" s="1"/>
  <c r="D128" i="2"/>
  <c r="F128" i="2" s="1"/>
  <c r="D129" i="2"/>
  <c r="F129" i="2" s="1"/>
  <c r="D130" i="2"/>
  <c r="F130" i="2" s="1"/>
  <c r="D131" i="2"/>
  <c r="F131" i="2" s="1"/>
  <c r="D132" i="2"/>
  <c r="F132" i="2" s="1"/>
  <c r="D133" i="2"/>
  <c r="F133" i="2" s="1"/>
  <c r="D134" i="2"/>
  <c r="F134" i="2" s="1"/>
  <c r="D135" i="2"/>
  <c r="F135" i="2" s="1"/>
  <c r="D136" i="2"/>
  <c r="F136" i="2" s="1"/>
  <c r="D137" i="2"/>
  <c r="F137" i="2" s="1"/>
  <c r="D138" i="2"/>
  <c r="F138" i="2" s="1"/>
  <c r="D139" i="2"/>
  <c r="F139" i="2" s="1"/>
  <c r="D140" i="2"/>
  <c r="F140" i="2" s="1"/>
  <c r="D141" i="2"/>
  <c r="F141" i="2" s="1"/>
  <c r="D142" i="2"/>
  <c r="F142" i="2" s="1"/>
  <c r="D143" i="2"/>
  <c r="F143" i="2" s="1"/>
  <c r="D144" i="2"/>
  <c r="F144" i="2" s="1"/>
  <c r="D145" i="2"/>
  <c r="F145" i="2" s="1"/>
  <c r="D146" i="2"/>
  <c r="F146" i="2" s="1"/>
  <c r="D147" i="2"/>
  <c r="F147" i="2" s="1"/>
  <c r="D148" i="2"/>
  <c r="F148" i="2" s="1"/>
  <c r="D149" i="2"/>
  <c r="F149" i="2" s="1"/>
  <c r="D150" i="2"/>
  <c r="F150" i="2" s="1"/>
  <c r="D151" i="2"/>
  <c r="F151" i="2" s="1"/>
  <c r="D152" i="2"/>
  <c r="F152" i="2" s="1"/>
  <c r="D153" i="2"/>
  <c r="F153" i="2" s="1"/>
  <c r="D154" i="2"/>
  <c r="F154" i="2" s="1"/>
  <c r="D155" i="2"/>
  <c r="F155" i="2" s="1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3" i="2"/>
  <c r="J4" i="2" s="1"/>
  <c r="J5" i="2" s="1"/>
  <c r="J6" i="2" s="1"/>
  <c r="J7" i="2" s="1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E3" i="2"/>
  <c r="K3" i="2" s="1"/>
  <c r="K4" i="2" s="1"/>
  <c r="K5" i="2" s="1"/>
  <c r="K6" i="2" s="1"/>
  <c r="D3" i="2"/>
  <c r="F3" i="2" s="1"/>
  <c r="L3" i="2" s="1"/>
  <c r="L4" i="2" l="1"/>
  <c r="L5" i="2" s="1"/>
  <c r="L6" i="2" s="1"/>
  <c r="L7" i="2" s="1"/>
  <c r="L8" i="2" s="1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L38" i="2" s="1"/>
  <c r="L39" i="2" s="1"/>
  <c r="L40" i="2" s="1"/>
  <c r="L41" i="2" s="1"/>
  <c r="L42" i="2" s="1"/>
  <c r="L43" i="2" s="1"/>
  <c r="L44" i="2" s="1"/>
  <c r="L45" i="2" s="1"/>
  <c r="L46" i="2" s="1"/>
  <c r="L47" i="2" s="1"/>
  <c r="L48" i="2" s="1"/>
  <c r="L49" i="2" s="1"/>
  <c r="L50" i="2" s="1"/>
  <c r="L51" i="2" s="1"/>
  <c r="L52" i="2" s="1"/>
  <c r="L53" i="2" s="1"/>
  <c r="L54" i="2" s="1"/>
  <c r="L55" i="2" s="1"/>
  <c r="L56" i="2" s="1"/>
  <c r="L57" i="2" s="1"/>
  <c r="L58" i="2" s="1"/>
  <c r="L59" i="2" s="1"/>
  <c r="L60" i="2" s="1"/>
  <c r="L61" i="2" s="1"/>
  <c r="L62" i="2" s="1"/>
  <c r="L63" i="2" s="1"/>
  <c r="L64" i="2" s="1"/>
  <c r="L65" i="2" s="1"/>
  <c r="L66" i="2" s="1"/>
  <c r="L67" i="2" s="1"/>
  <c r="L68" i="2" s="1"/>
  <c r="L69" i="2" s="1"/>
  <c r="L70" i="2" s="1"/>
  <c r="L71" i="2" s="1"/>
  <c r="L72" i="2" s="1"/>
  <c r="L73" i="2" s="1"/>
  <c r="L74" i="2" s="1"/>
  <c r="L75" i="2" s="1"/>
  <c r="L76" i="2" s="1"/>
  <c r="L77" i="2" s="1"/>
  <c r="L78" i="2" s="1"/>
  <c r="L79" i="2" s="1"/>
  <c r="L80" i="2" s="1"/>
  <c r="L81" i="2" s="1"/>
  <c r="L82" i="2" s="1"/>
  <c r="L83" i="2" s="1"/>
  <c r="L84" i="2" s="1"/>
  <c r="L85" i="2" s="1"/>
  <c r="L86" i="2" s="1"/>
  <c r="L87" i="2" s="1"/>
  <c r="L88" i="2" s="1"/>
  <c r="L89" i="2" s="1"/>
  <c r="L90" i="2" s="1"/>
  <c r="L91" i="2" s="1"/>
  <c r="L92" i="2" s="1"/>
  <c r="L93" i="2" s="1"/>
  <c r="L94" i="2" s="1"/>
  <c r="L95" i="2" s="1"/>
  <c r="L96" i="2" s="1"/>
  <c r="L97" i="2" s="1"/>
  <c r="L98" i="2" s="1"/>
  <c r="L99" i="2" s="1"/>
  <c r="L100" i="2" s="1"/>
  <c r="L101" i="2" s="1"/>
  <c r="L102" i="2" s="1"/>
  <c r="L103" i="2" s="1"/>
  <c r="L104" i="2" s="1"/>
  <c r="L105" i="2" s="1"/>
  <c r="L106" i="2" s="1"/>
  <c r="L107" i="2" s="1"/>
  <c r="L108" i="2" s="1"/>
  <c r="L109" i="2" s="1"/>
  <c r="L110" i="2" s="1"/>
  <c r="L111" i="2" s="1"/>
  <c r="L112" i="2" s="1"/>
  <c r="L113" i="2" s="1"/>
  <c r="L114" i="2" s="1"/>
  <c r="L115" i="2" s="1"/>
  <c r="L116" i="2" s="1"/>
  <c r="L117" i="2" s="1"/>
  <c r="L118" i="2" s="1"/>
  <c r="L119" i="2" s="1"/>
  <c r="L120" i="2" s="1"/>
  <c r="L121" i="2" s="1"/>
  <c r="L122" i="2" s="1"/>
  <c r="L123" i="2" s="1"/>
  <c r="L124" i="2" s="1"/>
  <c r="L125" i="2" s="1"/>
  <c r="L126" i="2" s="1"/>
  <c r="L127" i="2" s="1"/>
  <c r="L128" i="2" s="1"/>
  <c r="L129" i="2" s="1"/>
  <c r="L130" i="2" s="1"/>
  <c r="L131" i="2" s="1"/>
  <c r="L132" i="2" s="1"/>
  <c r="L133" i="2" s="1"/>
  <c r="L134" i="2" s="1"/>
  <c r="L135" i="2" s="1"/>
  <c r="L136" i="2" s="1"/>
  <c r="L137" i="2" s="1"/>
  <c r="L138" i="2" s="1"/>
  <c r="L139" i="2" s="1"/>
  <c r="L140" i="2" s="1"/>
  <c r="L141" i="2" s="1"/>
  <c r="L142" i="2" s="1"/>
  <c r="L143" i="2" s="1"/>
  <c r="L144" i="2" s="1"/>
  <c r="L145" i="2" s="1"/>
  <c r="L146" i="2" s="1"/>
  <c r="L147" i="2" s="1"/>
  <c r="L148" i="2" s="1"/>
  <c r="L149" i="2" s="1"/>
  <c r="L150" i="2" s="1"/>
  <c r="L151" i="2" s="1"/>
  <c r="L152" i="2" s="1"/>
  <c r="L153" i="2" s="1"/>
  <c r="L154" i="2" s="1"/>
  <c r="L155" i="2" s="1"/>
  <c r="L156" i="2" s="1"/>
  <c r="L157" i="2" s="1"/>
  <c r="L158" i="2" s="1"/>
  <c r="L159" i="2" s="1"/>
  <c r="L160" i="2" s="1"/>
  <c r="L161" i="2" s="1"/>
  <c r="L162" i="2" s="1"/>
  <c r="L163" i="2" s="1"/>
  <c r="L164" i="2" s="1"/>
  <c r="L165" i="2" s="1"/>
  <c r="L166" i="2" s="1"/>
  <c r="L167" i="2" s="1"/>
  <c r="L168" i="2" s="1"/>
  <c r="L169" i="2" s="1"/>
  <c r="L170" i="2" s="1"/>
  <c r="L171" i="2" s="1"/>
  <c r="L172" i="2" s="1"/>
  <c r="L173" i="2" s="1"/>
  <c r="L174" i="2" s="1"/>
  <c r="L175" i="2" s="1"/>
  <c r="L176" i="2" s="1"/>
  <c r="L177" i="2" s="1"/>
  <c r="L178" i="2" s="1"/>
  <c r="L179" i="2" s="1"/>
  <c r="L180" i="2" s="1"/>
  <c r="L181" i="2" s="1"/>
  <c r="L182" i="2" s="1"/>
  <c r="L183" i="2" s="1"/>
  <c r="L184" i="2" s="1"/>
  <c r="L185" i="2" s="1"/>
  <c r="L186" i="2" s="1"/>
  <c r="L187" i="2" s="1"/>
  <c r="L188" i="2" s="1"/>
  <c r="L189" i="2" s="1"/>
  <c r="L190" i="2" s="1"/>
  <c r="L191" i="2" s="1"/>
  <c r="L192" i="2" s="1"/>
  <c r="L193" i="2" s="1"/>
  <c r="L194" i="2" s="1"/>
  <c r="L195" i="2" s="1"/>
  <c r="L196" i="2" s="1"/>
  <c r="L197" i="2" s="1"/>
  <c r="L198" i="2" s="1"/>
  <c r="L199" i="2" s="1"/>
  <c r="L200" i="2" s="1"/>
  <c r="L201" i="2" s="1"/>
  <c r="L202" i="2" s="1"/>
  <c r="L203" i="2" s="1"/>
  <c r="L204" i="2" s="1"/>
  <c r="L205" i="2" s="1"/>
  <c r="L206" i="2" s="1"/>
  <c r="L207" i="2" s="1"/>
  <c r="L208" i="2" s="1"/>
  <c r="L209" i="2" s="1"/>
  <c r="L210" i="2" s="1"/>
  <c r="L211" i="2" s="1"/>
  <c r="L212" i="2" s="1"/>
  <c r="L213" i="2" s="1"/>
  <c r="L214" i="2" s="1"/>
  <c r="L215" i="2" s="1"/>
  <c r="L216" i="2" s="1"/>
  <c r="L217" i="2" s="1"/>
  <c r="L218" i="2" s="1"/>
  <c r="L219" i="2" s="1"/>
  <c r="L220" i="2" s="1"/>
  <c r="L221" i="2" s="1"/>
  <c r="L222" i="2" s="1"/>
  <c r="L223" i="2" s="1"/>
  <c r="L224" i="2" s="1"/>
  <c r="L225" i="2" s="1"/>
  <c r="L226" i="2" s="1"/>
  <c r="L227" i="2" s="1"/>
  <c r="L228" i="2" s="1"/>
  <c r="L229" i="2" s="1"/>
  <c r="L230" i="2" s="1"/>
  <c r="L231" i="2" s="1"/>
  <c r="L232" i="2" s="1"/>
  <c r="L233" i="2" s="1"/>
  <c r="K7" i="2"/>
  <c r="K8" i="2" s="1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K38" i="2" s="1"/>
  <c r="K39" i="2" s="1"/>
  <c r="K40" i="2" s="1"/>
  <c r="K41" i="2" s="1"/>
  <c r="K42" i="2" s="1"/>
  <c r="K43" i="2" s="1"/>
  <c r="K44" i="2" s="1"/>
  <c r="K45" i="2" s="1"/>
  <c r="K46" i="2" s="1"/>
  <c r="K47" i="2" s="1"/>
  <c r="K48" i="2" s="1"/>
  <c r="K49" i="2" s="1"/>
  <c r="K50" i="2" s="1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K73" i="2" s="1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</calcChain>
</file>

<file path=xl/sharedStrings.xml><?xml version="1.0" encoding="utf-8"?>
<sst xmlns="http://schemas.openxmlformats.org/spreadsheetml/2006/main" count="677" uniqueCount="271">
  <si>
    <t>Data</t>
  </si>
  <si>
    <t>Category</t>
  </si>
  <si>
    <t>Sum of $ Nemjay</t>
  </si>
  <si>
    <t>Sum of $ Anthony</t>
  </si>
  <si>
    <t>Bills</t>
  </si>
  <si>
    <t>Food</t>
  </si>
  <si>
    <t>Groceries</t>
  </si>
  <si>
    <t>Health</t>
  </si>
  <si>
    <t>Home</t>
  </si>
  <si>
    <t>Other</t>
  </si>
  <si>
    <t>Transport</t>
  </si>
  <si>
    <t>Tickets and Events</t>
  </si>
  <si>
    <t>income</t>
  </si>
  <si>
    <t>Total Result</t>
  </si>
  <si>
    <t>Date</t>
  </si>
  <si>
    <t>Total Amount</t>
  </si>
  <si>
    <t>% Nemjay</t>
  </si>
  <si>
    <t>% Anthony</t>
  </si>
  <si>
    <t>$ Nemjay</t>
  </si>
  <si>
    <t>$ Anthony</t>
  </si>
  <si>
    <t>To/From</t>
  </si>
  <si>
    <t>Purpose/Notes</t>
  </si>
  <si>
    <t>Shared Balance</t>
  </si>
  <si>
    <t>$ Nemjay balance</t>
  </si>
  <si>
    <t>$ Anthony balance</t>
  </si>
  <si>
    <t>Error present?</t>
  </si>
  <si>
    <t>CHEAPER DOMAINS</t>
  </si>
  <si>
    <t>anthonychen.com.au domain</t>
  </si>
  <si>
    <t xml:space="preserve">Return VODAFONE AUSTRALIA NORTH SYDNEY AU AUS Card xx8530 </t>
  </si>
  <si>
    <t>Phone plan</t>
  </si>
  <si>
    <t xml:space="preserve">Public Transport Victo DOCKLANDS AUS Card xx8530 </t>
  </si>
  <si>
    <t>Myki</t>
  </si>
  <si>
    <t xml:space="preserve">WOOLWORTHS 3371 KEYSBOROUGH VI AUS Card xx3937 </t>
  </si>
  <si>
    <t xml:space="preserve">KMART 1026 KEYSBOROUGH 03 AUS Card xx3937 </t>
  </si>
  <si>
    <t>Mini Waffle Set, Air fryer, 2x massage, cooking sets etc</t>
  </si>
  <si>
    <t xml:space="preserve">PIZZA HUT PARKMORE KEYSBOROUGH AUS Card xx3937 </t>
  </si>
  <si>
    <t>2x pizza</t>
  </si>
  <si>
    <t xml:space="preserve">MYKI PAYMENTS MELBOURNE AUS Card xx3937 </t>
  </si>
  <si>
    <t xml:space="preserve">KMART Mulgrave VI AUS Card xx3937 </t>
  </si>
  <si>
    <t xml:space="preserve">Return KMART Mulgrave VI AUS Card xx3937 </t>
  </si>
  <si>
    <t xml:space="preserve">rentalcars.com London GB GBR Card xx3937 AUD 103.83 </t>
  </si>
  <si>
    <t>Car Rental Adelaide</t>
  </si>
  <si>
    <t xml:space="preserve">Mammoth Media Pty Ltd Auchenflower QL AUS Card xx3937 </t>
  </si>
  <si>
    <t>VPS Server</t>
  </si>
  <si>
    <t>Transfer To Jetstar Airways Pty Ltd - $7 PayID Email from CommBank App SWVWNW - Nimesh</t>
  </si>
  <si>
    <t>Flight to Adelaide</t>
  </si>
  <si>
    <t>PayTo EXETEL PTY LTD EIDA-1410246 4270984149</t>
  </si>
  <si>
    <t>Internet Bill</t>
  </si>
  <si>
    <t xml:space="preserve">Zoos SA Adelaide SA AUS Card xx3937 </t>
  </si>
  <si>
    <t>Zoos SA Membership</t>
  </si>
  <si>
    <t>LEYTON REAL ESTATE CommBank app BPAY 737171 01765023260 Rent for February</t>
  </si>
  <si>
    <t>Rent</t>
  </si>
  <si>
    <t>Fast Transfer From VINISHA SUBHASINGHE A House rent Feb 2026</t>
  </si>
  <si>
    <t>Fast Transfer From ANTHONY CHEN Income Income</t>
  </si>
  <si>
    <t>Transfer</t>
  </si>
  <si>
    <t xml:space="preserve">COLES 0565 BALWYN NORTH 03 AUS Card xx3937 </t>
  </si>
  <si>
    <t xml:space="preserve">CW NOBLE PARK NOBLE PARK PA VI AUS Card xx3937 </t>
  </si>
  <si>
    <t>Doxycycline</t>
  </si>
  <si>
    <t xml:space="preserve">COLES 0549 NOBLE PARK 03 AUS Card xx3937 </t>
  </si>
  <si>
    <t xml:space="preserve">DR S AND R MEDICAL PTY CARLTON VI AUS Card xx3937 </t>
  </si>
  <si>
    <t>Fee for missed appointment</t>
  </si>
  <si>
    <t xml:space="preserve">NEW LANKA BUSINESS SER NOBLE PARK AUS Card xx3937 </t>
  </si>
  <si>
    <t xml:space="preserve">228 WESTFIELD PTY LT GEELONG VI AUS Card xx8530 </t>
  </si>
  <si>
    <t>Sushi?</t>
  </si>
  <si>
    <t xml:space="preserve">Novotel Geelong FB Geelong VI AUS Card xx8530 </t>
  </si>
  <si>
    <t xml:space="preserve">HiLite Amusements MOOLAP AUS Card xx3937 </t>
  </si>
  <si>
    <t>Ferris Wheel</t>
  </si>
  <si>
    <t xml:space="preserve">Novotel Geelong IPPI Geelong VI AUS Card xx3937 </t>
  </si>
  <si>
    <t xml:space="preserve">Subway Geelong Geelong VI AUS Card xx3937 </t>
  </si>
  <si>
    <t>Anthony Subway at Westfield Geelong</t>
  </si>
  <si>
    <t xml:space="preserve">Novotel Geelong OPI Geelong VI AUS Card xx8530 </t>
  </si>
  <si>
    <t>Accommodation for Geelong</t>
  </si>
  <si>
    <t>LA PORCHETTA GEELONG VICAU</t>
  </si>
  <si>
    <t>La Porchetta</t>
  </si>
  <si>
    <t>ALL ASIA ASIAN GROCE KEYSBOROUGH AU</t>
  </si>
  <si>
    <t>Seaweed for cabbage</t>
  </si>
  <si>
    <t xml:space="preserve">WKT 668 PTY LTD KEYSBOROUGH AU AUS Card xx8530 </t>
  </si>
  <si>
    <t>Breadtop</t>
  </si>
  <si>
    <t xml:space="preserve">WOOLWORTHS 3371 KEYSBOROUGH VI AUS Card xx8530 </t>
  </si>
  <si>
    <t xml:space="preserve">COLES 0625 KEYSBOROUGH 03 AUS Card xx8530 </t>
  </si>
  <si>
    <t>LS VSJ TRADING AS IND Keysborough AU</t>
  </si>
  <si>
    <t xml:space="preserve">PARKMORE PHYSIO CENTRE KEYSBOROUGH VI AUS Card xx8530 </t>
  </si>
  <si>
    <t>Physio</t>
  </si>
  <si>
    <t xml:space="preserve">MELBOURNE AIRPORT TULLAMARINE AUS Card xx3937 </t>
  </si>
  <si>
    <t>Adelaide Airport Parking</t>
  </si>
  <si>
    <t>SWEET N FRESH JUICE NOBLE PARK VICAU</t>
  </si>
  <si>
    <t>Cinnamon Gate</t>
  </si>
  <si>
    <t>Refund Purchase MEDICARE BENEFIT SN AU</t>
  </si>
  <si>
    <t>Physio Rebate</t>
  </si>
  <si>
    <t xml:space="preserve">Return Novotel Geelong OPI Geelong VI AUS Card xx8530 </t>
  </si>
  <si>
    <t xml:space="preserve">PIZZA HUT PARKMORE KEYSBOROUGH AUS Card xx8530 </t>
  </si>
  <si>
    <t>Pizza</t>
  </si>
  <si>
    <t>Pertussis Vaccination</t>
  </si>
  <si>
    <t xml:space="preserve">WKT 668 PTY LTD KEYSBOROUGH AU AUS Card xx3937 </t>
  </si>
  <si>
    <t>9v battery x3</t>
  </si>
  <si>
    <t>New Lanka</t>
  </si>
  <si>
    <t>Fast Transfer From KHIN HTAR HAN Cat litter</t>
  </si>
  <si>
    <t>Cat Litter Transfer from Kim</t>
  </si>
  <si>
    <t xml:space="preserve">BICYCLE INSURANCE CHATSWOOD AUS Card xx3937 </t>
  </si>
  <si>
    <t>Bicycle Insurance</t>
  </si>
  <si>
    <t xml:space="preserve">THE TOFF IN TOWN MELBOURNE AUS Card xx8530 </t>
  </si>
  <si>
    <t>Drinks/Club (Roberto?)</t>
  </si>
  <si>
    <t xml:space="preserve">Rozzis Flinders St Melbourne VI AUS Card xx8530 </t>
  </si>
  <si>
    <t xml:space="preserve">WOOLWORTHS 5547 WALKERVILLE SA AUS Card xx3937 </t>
  </si>
  <si>
    <t xml:space="preserve">UR Caffe North Adelaid SA AUS Card xx3937 </t>
  </si>
  <si>
    <t>UR Café Adelaide</t>
  </si>
  <si>
    <t xml:space="preserve">MELBOURNE ST PHARMAQPS NORTH ADELAID AUS Card xx3937 </t>
  </si>
  <si>
    <t>Terry Chemmart Sunscreen</t>
  </si>
  <si>
    <t>SQ *FOODPARK North Adelaid AU</t>
  </si>
  <si>
    <t>Convenience Store</t>
  </si>
  <si>
    <t>Fast Transfer From ANTHONY CHEN Car hire</t>
  </si>
  <si>
    <t>Income</t>
  </si>
  <si>
    <t>ZLR*T4 Airside - Rolld Tullamarine AU</t>
  </si>
  <si>
    <t>Roll'd Food</t>
  </si>
  <si>
    <t xml:space="preserve">Car Hire Excess </t>
  </si>
  <si>
    <t>Car Hire Insurance</t>
  </si>
  <si>
    <t xml:space="preserve">ZLR*Noodlebox Mount Ba Mount Barker AU AUS Card xx3937 </t>
  </si>
  <si>
    <t>Noodle box</t>
  </si>
  <si>
    <t xml:space="preserve">ROLL UP - FIRLE - PAX FIRLE SA AUS Card xx8530 </t>
  </si>
  <si>
    <t>Rolls at SA</t>
  </si>
  <si>
    <t xml:space="preserve">WOOLWORTHS 5682 MOUNT BARKER SA AUS Card xx3937 </t>
  </si>
  <si>
    <t xml:space="preserve">KFC Mount Barker Mount Barker AU AUS Card xx3937 </t>
  </si>
  <si>
    <t>Nemjay's Burger at KFC</t>
  </si>
  <si>
    <t xml:space="preserve">SQ *FAST EDDIE'S NORMA Normanville SA AUS Card xx3937 </t>
  </si>
  <si>
    <t>BBQ Wings</t>
  </si>
  <si>
    <t xml:space="preserve">DELAMERE GEN STORE DELAMERE SA AUS Card xx3937 </t>
  </si>
  <si>
    <t>Nemjay's sandwich</t>
  </si>
  <si>
    <t>SQ *EDI'S KITCHEN North Adelaid AU</t>
  </si>
  <si>
    <t>Breakfast SA</t>
  </si>
  <si>
    <t xml:space="preserve">Muffin Break AAL Adelaide Airp SA AUS Card xx8530 </t>
  </si>
  <si>
    <t>Food at Adelaide Airport (Definitely Nemjay)</t>
  </si>
  <si>
    <t xml:space="preserve">UNITED ADELAIDE AIRP ADELAIDE AIRP SA AUS Card xx3937 </t>
  </si>
  <si>
    <t>Petrol</t>
  </si>
  <si>
    <t>UNITED PETROLEUM PTY LTD Hawthorn AU</t>
  </si>
  <si>
    <t>Car Wash</t>
  </si>
  <si>
    <t>KFC Calton</t>
  </si>
  <si>
    <t>Woolworths</t>
  </si>
  <si>
    <t>Breakdtop</t>
  </si>
  <si>
    <t>Bunnings (car wash supplies)</t>
  </si>
  <si>
    <t>Bunnings</t>
  </si>
  <si>
    <t>Dental surgery (wisdom tooth check)</t>
  </si>
  <si>
    <t>Dental</t>
  </si>
  <si>
    <t>Nemjay burger KFC</t>
  </si>
  <si>
    <t xml:space="preserve">MCDONALDS MALTBY BYP WERRIBEE VI AUS Card xx3937 </t>
  </si>
  <si>
    <t>McDonalds</t>
  </si>
  <si>
    <t xml:space="preserve">MCDONALDS GEELONG BE BELMONT VI AUS Card xx3937 </t>
  </si>
  <si>
    <t xml:space="preserve">COLES 0501 BELMONT 03 AUS Card xx8530 </t>
  </si>
  <si>
    <t>BBQ food</t>
  </si>
  <si>
    <t xml:space="preserve">COLES 0501 BELMONT 03 AUS Card xx3937 </t>
  </si>
  <si>
    <t xml:space="preserve">BP LT RIV MB 4134 LITTLE RIVER VI AUS Card xx3937 </t>
  </si>
  <si>
    <t>Sandwiches</t>
  </si>
  <si>
    <t>Hungry Jacks Litte River AU</t>
  </si>
  <si>
    <t>Hungry Jacks</t>
  </si>
  <si>
    <t>Non CBA ATM Withdrawal Fee</t>
  </si>
  <si>
    <t>Bike</t>
  </si>
  <si>
    <t>Wdl ATM Red NP-Taste of Parad Dandenong AU</t>
  </si>
  <si>
    <t xml:space="preserve">BWS LIQUOR 3378 KEYSBOROUGH VI AUS Card xx8530 </t>
  </si>
  <si>
    <t xml:space="preserve">NEW LANKA BUSINESS SER NOBLE PARK AUS Card xx8530 </t>
  </si>
  <si>
    <t>Fountain Gate Narre Warren AU</t>
  </si>
  <si>
    <t>????</t>
  </si>
  <si>
    <t>ONEPASS MOBILE</t>
  </si>
  <si>
    <t>Onepass</t>
  </si>
  <si>
    <t xml:space="preserve">WOOLWORTHS 3742 DANDENONG N VI AUS Card xx3937 </t>
  </si>
  <si>
    <t>PayTo EXETEL PTY LTD EIDA-1410246 4297437118</t>
  </si>
  <si>
    <t xml:space="preserve">SP DANGERFIELD 3941 ABBOTSFORD VI AUS Card xx8530 </t>
  </si>
  <si>
    <t>Clothing</t>
  </si>
  <si>
    <t>VODAFONE AUSTRALIA</t>
  </si>
  <si>
    <t>Phone bill</t>
  </si>
  <si>
    <t xml:space="preserve">DANDENONG CITY PHARM DANDENONG VI AUS Card xx3937 </t>
  </si>
  <si>
    <t>Vaccination</t>
  </si>
  <si>
    <t>Fast Transfer From ANTHONY CHEN Income 1000</t>
  </si>
  <si>
    <t xml:space="preserve">FACTORY X PTY LTD ABBOTSFORD VI AUS Card xx8530 </t>
  </si>
  <si>
    <t>SQ *LITTLE C Melbourne AU Card xx8530</t>
  </si>
  <si>
    <t>Fast Transfer From VINISHA SUBHASINGHE A House Rent March 2026</t>
  </si>
  <si>
    <t>LEYTON REAL ESTATE CommBank app BPAY 737171 01765023260 Rent for March</t>
  </si>
  <si>
    <t xml:space="preserve">LITTLE LANKA FOOD &amp; GR NOBLE PARK AUS Card xx3937 </t>
  </si>
  <si>
    <t xml:space="preserve">REYNOR NOMINEES PTY LT NOBLE PARK AUS Card xx3937 </t>
  </si>
  <si>
    <t>Wine for pasta</t>
  </si>
  <si>
    <t xml:space="preserve">KMART 1369 EPPING 03 AUS Card xx3937 </t>
  </si>
  <si>
    <t>Water flosser</t>
  </si>
  <si>
    <t xml:space="preserve">IKEA RICHMOND RICHMOND VI AUS Card xx3937 </t>
  </si>
  <si>
    <t>Containers</t>
  </si>
  <si>
    <t xml:space="preserve">ATLAS FUEL GLOBAL PL MULGRAVE AUS Card xx3937 </t>
  </si>
  <si>
    <t xml:space="preserve">ANGANNA DENTAL PTY LTD SPRINGVALE VI AUS Card xx3937 </t>
  </si>
  <si>
    <t>Transfer from xx3509 CommBank app Expenses</t>
  </si>
  <si>
    <t>Transfer To Vinisha Madhuwanthi CommBank App Tax Return Agent Fee</t>
  </si>
  <si>
    <t>Bike insurance</t>
  </si>
  <si>
    <t xml:space="preserve">SACCAS FINE FOODS EP EPPING VI AUS Card xx3937 </t>
  </si>
  <si>
    <t xml:space="preserve">WOOLWORTHS 3454 EPPING VI AUS Card xx3937 </t>
  </si>
  <si>
    <t xml:space="preserve">Henrys Cafe DONCASTER EAS AU AUS Card xx3937 </t>
  </si>
  <si>
    <t>Noodles</t>
  </si>
  <si>
    <t xml:space="preserve">THE TRUSTEE FOR ABBO ABBOTSFORD VI AUS Card xx8530 </t>
  </si>
  <si>
    <t xml:space="preserve">Dominos Estore Dandeno dominos.com.a AU AUS Card xx8530 </t>
  </si>
  <si>
    <t xml:space="preserve">Sharetea D. Junction Dandenong nor VI AUS Card xx3937 </t>
  </si>
  <si>
    <t>Milk Tee</t>
  </si>
  <si>
    <t>TPDN TRADINGS PTY LTD MELBOURNE VIC AU FLindersSTreet Bake House</t>
  </si>
  <si>
    <t xml:space="preserve">Stellas Kitchen Lysterfield AU AUS Card xx8530 </t>
  </si>
  <si>
    <t>Pasta</t>
  </si>
  <si>
    <t xml:space="preserve">ALDI STORES DANDENONG AUS Card xx3937 </t>
  </si>
  <si>
    <t>MCDONALDS HODDLE ST ABBOTSFORD VICAU</t>
  </si>
  <si>
    <t xml:space="preserve">WOOLWORTHS 3349 DANDENONG VI AUS Card xx3937 </t>
  </si>
  <si>
    <t>BELMORE VIETNAMESE FOO BALWYN NORTH AU</t>
  </si>
  <si>
    <t>Vietnamese rolls</t>
  </si>
  <si>
    <t>Fast Transfer From ANTHONY CHEN Income</t>
  </si>
  <si>
    <t>Transfer from xx6717 CommBank app S26U</t>
  </si>
  <si>
    <t>Transfer To Anthony Ubank NetBank S26U Ubank</t>
  </si>
  <si>
    <t>S26 Ultra</t>
  </si>
  <si>
    <t>Unknown</t>
  </si>
  <si>
    <t>Public Transport Victo DOCKLANDS</t>
  </si>
  <si>
    <t>SMP*Cinnamon Gate Nob7 Noble Park VI</t>
  </si>
  <si>
    <t>Food?</t>
  </si>
  <si>
    <t>ALDI STORES DANDENONG</t>
  </si>
  <si>
    <t>GREEN VILLAGE POULTRY DANDENONG</t>
  </si>
  <si>
    <t>Chicken legs</t>
  </si>
  <si>
    <t>CASH DEPOSIT CBA ATM DANDENONG P D VIC 360804 AUS</t>
  </si>
  <si>
    <t>Wedding gift</t>
  </si>
  <si>
    <t>Mammoth Media Pty Ltd Auchenflower QL</t>
  </si>
  <si>
    <t>VPS</t>
  </si>
  <si>
    <t>Rozzis Flinders St Melbourne VI</t>
  </si>
  <si>
    <t>TOWER SUSHI MELBOURNE</t>
  </si>
  <si>
    <t>PayTo EXETEL PTY LTD EIDA-1410246 4323392117</t>
  </si>
  <si>
    <t>UBER *TRIP HELP.UBER.C 14518236738</t>
  </si>
  <si>
    <t>uber to work</t>
  </si>
  <si>
    <t>SMP*BALWYN HARVEST BAK BALWYN NORTH VI</t>
  </si>
  <si>
    <t>MYKI PAYMENTS MELBOURNE</t>
  </si>
  <si>
    <t>Transfer to CBA A/c CommBank app s26u</t>
  </si>
  <si>
    <t>Roll'd Chadstone Chadstone NS</t>
  </si>
  <si>
    <t>UBER *EATS HELP.UBER.C Sydney</t>
  </si>
  <si>
    <t>gyg taco</t>
  </si>
  <si>
    <t>VODAFONE AUSTRALIA NORTH SYDNEY</t>
  </si>
  <si>
    <t>UNI OF MELBOURNE CommBank app BPAY 93773 001350284004 SSAF</t>
  </si>
  <si>
    <t>SSAF</t>
  </si>
  <si>
    <t>LEYTON REAL ESTATE CommBank app BPAY 737171 01765023260 Rent for April</t>
  </si>
  <si>
    <t>Fast Transfer From VINISHA SUBHASINGHE A House rent Apr 26</t>
  </si>
  <si>
    <t>NEW LANKA BUSINESS SER NOBLE PARK</t>
  </si>
  <si>
    <t>Chocolate roll, ice cream, coconut powder</t>
  </si>
  <si>
    <t>AMAZON AU MARKETPLACE SYDNEY</t>
  </si>
  <si>
    <t>S26U Cover</t>
  </si>
  <si>
    <t>Transfer To ACME Consultants CommBank App Vinisha Consultation</t>
  </si>
  <si>
    <t>Mum 866 ART</t>
  </si>
  <si>
    <t>Dominos Estore Noble P dominos.com.a</t>
  </si>
  <si>
    <t>JB HI FI PARKMORE KEYSBOROUGH VI</t>
  </si>
  <si>
    <t>Catan</t>
  </si>
  <si>
    <t>WOOLWORTHS 3371 KEYSBOROUGH VI</t>
  </si>
  <si>
    <t>CWH MELBOURNE CENTRAL MELBOURNE VI</t>
  </si>
  <si>
    <t>Melbourne Central Melbourne VI</t>
  </si>
  <si>
    <t>aliexpress North Sydney</t>
  </si>
  <si>
    <t>bike, watch parts</t>
  </si>
  <si>
    <t>WOOLWORTHS 3454 EPPING VI</t>
  </si>
  <si>
    <t>rice</t>
  </si>
  <si>
    <t>Rozzis Flinders St Melbourne</t>
  </si>
  <si>
    <t>CW NOBLE PARK NOBLE PARK PA VI</t>
  </si>
  <si>
    <t>Fibre and Medication</t>
  </si>
  <si>
    <t>BALWYN PHARMACY POST BALWYN NORTH VI</t>
  </si>
  <si>
    <t>BICYCLE INSURANCE CHATSWOOD</t>
  </si>
  <si>
    <t>Bicycle insurance</t>
  </si>
  <si>
    <t>OPTUS c385970441e c385970441efa65273d6</t>
  </si>
  <si>
    <t>Dominos Estore Dandeno dominos.com.a</t>
  </si>
  <si>
    <t>IKEA SPRINGVALE SPRINGVALE VI</t>
  </si>
  <si>
    <t>AAA/AA</t>
  </si>
  <si>
    <t>COLES 0549 NOBLE PARK VI</t>
  </si>
  <si>
    <t>Transfer from xx3509 CommBank app expenses</t>
  </si>
  <si>
    <t>TICKETS*2026 MD2 P 0272026035</t>
  </si>
  <si>
    <t>Post Rotations MD2 Party</t>
  </si>
  <si>
    <t>Promethazine</t>
  </si>
  <si>
    <t>REYNOR NOMINEES PTY LT NOBLE PARK</t>
  </si>
  <si>
    <t>Moscato for Pasta</t>
  </si>
  <si>
    <t>Transfer To Vinisha Madhuwanthi CommBank App Lawyer Fees</t>
  </si>
  <si>
    <t>Education</t>
  </si>
  <si>
    <t>Vinisha</t>
  </si>
  <si>
    <t>Entertainment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</si>
</sst>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\$* #,##0.00_-;&quot;-$&quot;* #,##0.00_-;_-\$* \-??_-;_-@_-"/>
    <numFmt numFmtId="165" formatCode="[$-C09]General"/>
  </numFmts>
  <fonts count="8" x14ac:knownFonts="1">
    <font>
      <sz val="10"/>
      <color theme="1"/>
      <name val="Calibri"/>
      <charset val="1"/>
    </font>
    <font>
      <b/>
      <sz val="10"/>
      <color theme="1"/>
      <name val="Calibri"/>
      <charset val="1"/>
    </font>
    <font>
      <b/>
      <sz val="10"/>
      <name val="Calibri"/>
      <charset val="1"/>
    </font>
    <font>
      <sz val="10"/>
      <name val="Calibri"/>
      <charset val="1"/>
    </font>
    <font>
      <b/>
      <sz val="10"/>
      <name val="Calibri"/>
      <family val="2"/>
      <charset val="1"/>
    </font>
    <font>
      <sz val="10"/>
      <name val="Calibri"/>
      <family val="2"/>
      <charset val="1"/>
    </font>
    <font>
      <sz val="10"/>
      <color theme="1"/>
      <name val="Calibri"/>
      <charset val="1"/>
    </font>
    <font>
      <sz val="8"/>
      <name val="Calibri"/>
      <charset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9">
    <xf numFmtId="0" fontId="0" fillId="0" borderId="0"/>
    <xf numFmtId="164" fontId="6" fillId="0" borderId="0" applyBorder="0" applyProtection="0"/>
    <xf numFmtId="9" fontId="6" fillId="0" borderId="0" applyBorder="0" applyProtection="0"/>
    <xf numFmtId="0" fontId="6" fillId="0" borderId="0" applyBorder="0" applyProtection="0"/>
    <xf numFmtId="0" fontId="6" fillId="0" borderId="0" applyBorder="0" applyProtection="0"/>
    <xf numFmtId="0" fontId="6" fillId="0" borderId="0" applyBorder="0" applyProtection="0"/>
    <xf numFmtId="0" fontId="6" fillId="0" borderId="0" applyBorder="0" applyProtection="0">
      <alignment horizontal="left"/>
    </xf>
    <xf numFmtId="0" fontId="1" fillId="0" borderId="0" applyBorder="0" applyProtection="0">
      <alignment horizontal="left"/>
    </xf>
    <xf numFmtId="0" fontId="1" fillId="0" borderId="0" applyBorder="0" applyProtection="0"/>
  </cellStyleXfs>
  <cellXfs count="31">
    <xf numFmtId="0" fontId="0" fillId="0" borderId="0" xfId="0"/>
    <xf numFmtId="0" fontId="6" fillId="0" borderId="1" xfId="3" applyBorder="1"/>
    <xf numFmtId="0" fontId="6" fillId="0" borderId="2" xfId="5" applyBorder="1"/>
    <xf numFmtId="0" fontId="6" fillId="0" borderId="3" xfId="3" applyBorder="1"/>
    <xf numFmtId="0" fontId="6" fillId="0" borderId="4" xfId="5" applyBorder="1"/>
    <xf numFmtId="0" fontId="6" fillId="0" borderId="5" xfId="6" applyBorder="1">
      <alignment horizontal="left"/>
    </xf>
    <xf numFmtId="0" fontId="6" fillId="0" borderId="6" xfId="6" applyBorder="1">
      <alignment horizontal="left"/>
    </xf>
    <xf numFmtId="0" fontId="6" fillId="0" borderId="7" xfId="6" applyBorder="1">
      <alignment horizontal="left"/>
    </xf>
    <xf numFmtId="164" fontId="6" fillId="0" borderId="8" xfId="4" applyNumberFormat="1" applyBorder="1"/>
    <xf numFmtId="164" fontId="6" fillId="0" borderId="9" xfId="4" applyNumberFormat="1" applyBorder="1"/>
    <xf numFmtId="0" fontId="6" fillId="0" borderId="10" xfId="6" applyBorder="1">
      <alignment horizontal="left"/>
    </xf>
    <xf numFmtId="164" fontId="6" fillId="0" borderId="11" xfId="4" applyNumberFormat="1" applyBorder="1"/>
    <xf numFmtId="164" fontId="6" fillId="0" borderId="12" xfId="4" applyNumberFormat="1" applyBorder="1"/>
    <xf numFmtId="164" fontId="6" fillId="0" borderId="5" xfId="4" applyNumberFormat="1" applyBorder="1"/>
    <xf numFmtId="164" fontId="6" fillId="0" borderId="6" xfId="4" applyNumberFormat="1" applyBorder="1"/>
    <xf numFmtId="0" fontId="1" fillId="0" borderId="13" xfId="7" applyBorder="1">
      <alignment horizontal="left"/>
    </xf>
    <xf numFmtId="164" fontId="1" fillId="0" borderId="14" xfId="8" applyNumberFormat="1" applyBorder="1"/>
    <xf numFmtId="164" fontId="1" fillId="0" borderId="15" xfId="8" applyNumberFormat="1" applyBorder="1"/>
    <xf numFmtId="14" fontId="0" fillId="0" borderId="0" xfId="0" applyNumberFormat="1"/>
    <xf numFmtId="164" fontId="6" fillId="0" borderId="0" xfId="1" applyBorder="1" applyProtection="1"/>
    <xf numFmtId="9" fontId="6" fillId="0" borderId="0" xfId="2" applyBorder="1" applyProtection="1"/>
    <xf numFmtId="164" fontId="2" fillId="0" borderId="0" xfId="1" applyFont="1" applyBorder="1" applyProtection="1"/>
    <xf numFmtId="165" fontId="0" fillId="0" borderId="0" xfId="0" applyNumberFormat="1"/>
    <xf numFmtId="14" fontId="3" fillId="0" borderId="0" xfId="0" applyNumberFormat="1" applyFont="1"/>
    <xf numFmtId="164" fontId="3" fillId="0" borderId="0" xfId="1" applyFont="1" applyBorder="1" applyProtection="1"/>
    <xf numFmtId="0" fontId="3" fillId="0" borderId="0" xfId="0" applyFont="1"/>
    <xf numFmtId="164" fontId="4" fillId="0" borderId="0" xfId="1" applyFont="1" applyBorder="1" applyProtection="1"/>
    <xf numFmtId="0" fontId="5" fillId="0" borderId="0" xfId="0" applyFont="1"/>
    <xf numFmtId="164" fontId="5" fillId="0" borderId="0" xfId="1" applyFont="1" applyBorder="1" applyProtection="1"/>
    <xf numFmtId="14" fontId="5" fillId="0" borderId="0" xfId="0" applyNumberFormat="1" applyFont="1"/>
    <xf numFmtId="164" fontId="0" fillId="0" borderId="0" xfId="0" applyNumberFormat="1"/>
  </cellXfs>
  <cellStyles count="9">
    <cellStyle name="Currency" xfId="1" builtinId="4"/>
    <cellStyle name="Normal" xfId="0" builtinId="0"/>
    <cellStyle name="Percent" xfId="2" builtinId="5"/>
    <cellStyle name="Pivot Table Category" xfId="6" xr:uid="{00000000-0005-0000-0000-000009000000}"/>
    <cellStyle name="Pivot Table Corner" xfId="3" xr:uid="{00000000-0005-0000-0000-000006000000}"/>
    <cellStyle name="Pivot Table Field" xfId="5" xr:uid="{00000000-0005-0000-0000-000008000000}"/>
    <cellStyle name="Pivot Table Result" xfId="8" xr:uid="{00000000-0005-0000-0000-00000B000000}"/>
    <cellStyle name="Pivot Table Title" xfId="7" xr:uid="{00000000-0005-0000-0000-00000A000000}"/>
    <cellStyle name="Pivot Table Value" xfId="4" xr:uid="{00000000-0005-0000-0000-000007000000}"/>
  </cellStyles>
  <dxfs count="4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1:M233" totalsRowShown="0">
  <autoFilter ref="A1:M233" xr:uid="{00000000-0009-0000-0100-000001000000}"/>
  <tableColumns count="13">
    <tableColumn id="1" xr3:uid="{00000000-0010-0000-0000-000001000000}" name="Date"/>
    <tableColumn id="2" xr3:uid="{00000000-0010-0000-0000-000002000000}" name="Total Amount"/>
    <tableColumn id="3" xr3:uid="{00000000-0010-0000-0000-000003000000}" name="% Nemjay"/>
    <tableColumn id="4" xr3:uid="{00000000-0010-0000-0000-000004000000}" name="% Anthony"/>
    <tableColumn id="5" xr3:uid="{00000000-0010-0000-0000-000005000000}" name="$ Nemjay"/>
    <tableColumn id="6" xr3:uid="{00000000-0010-0000-0000-000006000000}" name="$ Anthony"/>
    <tableColumn id="7" xr3:uid="{00000000-0010-0000-0000-000007000000}" name="To/From"/>
    <tableColumn id="8" xr3:uid="{00000000-0010-0000-0000-000008000000}" name="Purpose/Notes"/>
    <tableColumn id="9" xr3:uid="{00000000-0010-0000-0000-000009000000}" name="Category"/>
    <tableColumn id="10" xr3:uid="{00000000-0010-0000-0000-00000A000000}" name="Shared Balance"/>
    <tableColumn id="11" xr3:uid="{00000000-0010-0000-0000-00000B000000}" name="$ Nemjay balance"/>
    <tableColumn id="12" xr3:uid="{00000000-0010-0000-0000-00000C000000}" name="$ Anthony balance"/>
    <tableColumn id="13" xr3:uid="{00000000-0010-0000-0000-00000D000000}" name="Error present?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14"/>
  <sheetViews>
    <sheetView zoomScale="152" zoomScaleNormal="152" workbookViewId="0">
      <selection activeCell="C9" sqref="C9"/>
    </sheetView>
  </sheetViews>
  <sheetFormatPr defaultColWidth="9" defaultRowHeight="12.75" x14ac:dyDescent="0.2"/>
  <cols>
    <col min="1" max="1" width="15.28515625" customWidth="1"/>
    <col min="2" max="2" width="14.5703125" customWidth="1"/>
    <col min="3" max="3" width="15.140625" customWidth="1"/>
    <col min="4" max="4" width="14.5703125" customWidth="1"/>
    <col min="5" max="5" width="15.140625" customWidth="1"/>
    <col min="6" max="6" width="14.5703125" customWidth="1"/>
    <col min="7" max="7" width="15.140625" customWidth="1"/>
    <col min="8" max="8" width="19.140625" customWidth="1"/>
    <col min="9" max="9" width="19.7109375" customWidth="1"/>
    <col min="10" max="10" width="14.5703125" customWidth="1"/>
    <col min="11" max="11" width="15.140625" customWidth="1"/>
    <col min="12" max="12" width="14.5703125" customWidth="1"/>
    <col min="13" max="13" width="15.140625" customWidth="1"/>
    <col min="14" max="14" width="14.5703125" customWidth="1"/>
    <col min="15" max="15" width="15.140625" customWidth="1"/>
    <col min="16" max="16" width="14.5703125" customWidth="1"/>
    <col min="17" max="17" width="15.140625" customWidth="1"/>
    <col min="18" max="18" width="14.5703125" customWidth="1"/>
    <col min="19" max="19" width="15.140625" customWidth="1"/>
    <col min="20" max="20" width="14.5703125" customWidth="1"/>
    <col min="21" max="21" width="15.140625" customWidth="1"/>
    <col min="22" max="22" width="14.5703125" customWidth="1"/>
    <col min="23" max="23" width="15.140625" customWidth="1"/>
    <col min="24" max="24" width="14.5703125" customWidth="1"/>
    <col min="25" max="25" width="15.140625" customWidth="1"/>
    <col min="26" max="26" width="19.140625" customWidth="1"/>
    <col min="27" max="27" width="19.7109375" customWidth="1"/>
    <col min="28" max="28" width="3.42578125" customWidth="1"/>
    <col min="29" max="29" width="3.5703125" customWidth="1"/>
    <col min="30" max="30" width="11" customWidth="1"/>
    <col min="31" max="31" width="17.28515625" customWidth="1"/>
    <col min="32" max="32" width="20" customWidth="1"/>
    <col min="33" max="33" width="9.28515625" customWidth="1"/>
    <col min="34" max="34" width="12" customWidth="1"/>
    <col min="35" max="35" width="10" customWidth="1"/>
    <col min="36" max="36" width="8.5703125" customWidth="1"/>
    <col min="37" max="38" width="9.140625" customWidth="1"/>
    <col min="39" max="39" width="12" customWidth="1"/>
    <col min="40" max="41" width="7.42578125" customWidth="1"/>
    <col min="42" max="42" width="9.28515625" customWidth="1"/>
    <col min="43" max="44" width="10.42578125" customWidth="1"/>
    <col min="45" max="45" width="13" customWidth="1"/>
    <col min="46" max="47" width="8" customWidth="1"/>
    <col min="48" max="48" width="10.5703125" customWidth="1"/>
    <col min="49" max="50" width="8.42578125" customWidth="1"/>
    <col min="51" max="52" width="10" customWidth="1"/>
    <col min="53" max="53" width="11.140625" customWidth="1"/>
    <col min="54" max="54" width="7.140625" customWidth="1"/>
    <col min="55" max="55" width="11.5703125" customWidth="1"/>
    <col min="56" max="57" width="10.42578125" customWidth="1"/>
    <col min="58" max="58" width="13" customWidth="1"/>
    <col min="59" max="61" width="10.42578125" customWidth="1"/>
    <col min="62" max="62" width="11" customWidth="1"/>
    <col min="63" max="63" width="17.28515625" customWidth="1"/>
    <col min="64" max="64" width="20" customWidth="1"/>
    <col min="65" max="65" width="9.28515625" customWidth="1"/>
    <col min="66" max="66" width="12" customWidth="1"/>
    <col min="67" max="67" width="19" customWidth="1"/>
    <col min="68" max="68" width="19.7109375" customWidth="1"/>
  </cols>
  <sheetData>
    <row r="3" spans="1:3" x14ac:dyDescent="0.2">
      <c r="A3" s="1"/>
      <c r="B3" s="2" t="s">
        <v>0</v>
      </c>
      <c r="C3" s="3"/>
    </row>
    <row r="4" spans="1:3" x14ac:dyDescent="0.2">
      <c r="A4" s="4" t="s">
        <v>1</v>
      </c>
      <c r="B4" s="5" t="s">
        <v>2</v>
      </c>
      <c r="C4" s="6" t="s">
        <v>3</v>
      </c>
    </row>
    <row r="5" spans="1:3" x14ac:dyDescent="0.2">
      <c r="A5" s="7" t="s">
        <v>4</v>
      </c>
      <c r="B5" s="8">
        <v>-460</v>
      </c>
      <c r="C5" s="9">
        <v>-685.73</v>
      </c>
    </row>
    <row r="6" spans="1:3" x14ac:dyDescent="0.2">
      <c r="A6" s="10" t="s">
        <v>5</v>
      </c>
      <c r="B6" s="11">
        <v>-600.29999999999995</v>
      </c>
      <c r="C6" s="12">
        <v>-372.96</v>
      </c>
    </row>
    <row r="7" spans="1:3" x14ac:dyDescent="0.2">
      <c r="A7" s="10" t="s">
        <v>6</v>
      </c>
      <c r="B7" s="11">
        <v>-392.82310000000001</v>
      </c>
      <c r="C7" s="12">
        <v>-368.2269</v>
      </c>
    </row>
    <row r="8" spans="1:3" x14ac:dyDescent="0.2">
      <c r="A8" s="10" t="s">
        <v>7</v>
      </c>
      <c r="B8" s="11">
        <v>-107.69499999999999</v>
      </c>
      <c r="C8" s="12">
        <v>-472.47500000000002</v>
      </c>
    </row>
    <row r="9" spans="1:3" x14ac:dyDescent="0.2">
      <c r="A9" s="10" t="s">
        <v>8</v>
      </c>
      <c r="B9" s="11">
        <v>-1934.2550000000001</v>
      </c>
      <c r="C9" s="12">
        <v>-37.795000000000002</v>
      </c>
    </row>
    <row r="10" spans="1:3" x14ac:dyDescent="0.2">
      <c r="A10" s="10" t="s">
        <v>9</v>
      </c>
      <c r="B10" s="11">
        <v>-165</v>
      </c>
      <c r="C10" s="12">
        <v>-148</v>
      </c>
    </row>
    <row r="11" spans="1:3" x14ac:dyDescent="0.2">
      <c r="A11" s="10" t="s">
        <v>10</v>
      </c>
      <c r="B11" s="11">
        <v>-670.06</v>
      </c>
      <c r="C11" s="12">
        <v>-778.19</v>
      </c>
    </row>
    <row r="12" spans="1:3" x14ac:dyDescent="0.2">
      <c r="A12" s="10" t="s">
        <v>11</v>
      </c>
      <c r="B12" s="11">
        <v>-245.22</v>
      </c>
      <c r="C12" s="12">
        <v>-276.64</v>
      </c>
    </row>
    <row r="13" spans="1:3" x14ac:dyDescent="0.2">
      <c r="A13" s="10" t="s">
        <v>12</v>
      </c>
      <c r="B13" s="13">
        <v>1700</v>
      </c>
      <c r="C13" s="14">
        <v>4500</v>
      </c>
    </row>
    <row r="14" spans="1:3" x14ac:dyDescent="0.2">
      <c r="A14" s="15" t="s">
        <v>13</v>
      </c>
      <c r="B14" s="16">
        <v>-2875.3530999999998</v>
      </c>
      <c r="C14" s="17">
        <v>1359.9830999999999</v>
      </c>
    </row>
  </sheetData>
  <conditionalFormatting sqref="A4:A18 A19:G19">
    <cfRule type="cellIs" dxfId="3" priority="2" operator="greaterThan">
      <formula>0</formula>
    </cfRule>
    <cfRule type="cellIs" dxfId="2" priority="3" operator="less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56"/>
  <sheetViews>
    <sheetView tabSelected="1" topLeftCell="A214" zoomScaleNormal="100" workbookViewId="0">
      <pane xSplit="1" topLeftCell="F1" activePane="topRight" state="frozen"/>
      <selection pane="topRight" activeCell="E183" sqref="E183"/>
    </sheetView>
  </sheetViews>
  <sheetFormatPr defaultColWidth="12.5703125" defaultRowHeight="12.75" x14ac:dyDescent="0.2"/>
  <cols>
    <col min="1" max="1" width="12.5703125" style="18"/>
    <col min="2" max="2" width="13.7109375" style="19" customWidth="1"/>
    <col min="3" max="4" width="12.5703125" style="20"/>
    <col min="5" max="6" width="12.5703125" style="21"/>
    <col min="7" max="7" width="27.140625" customWidth="1"/>
    <col min="8" max="8" width="15" customWidth="1"/>
    <col min="9" max="9" width="12.5703125" style="22"/>
    <col min="10" max="12" width="12.5703125" style="19"/>
    <col min="13" max="13" width="14" customWidth="1"/>
    <col min="14" max="16384" width="12.5703125" style="22"/>
  </cols>
  <sheetData>
    <row r="1" spans="1:13" x14ac:dyDescent="0.2">
      <c r="A1" s="23" t="s">
        <v>14</v>
      </c>
      <c r="B1" s="19" t="s">
        <v>15</v>
      </c>
      <c r="C1" s="20" t="s">
        <v>16</v>
      </c>
      <c r="D1" s="20" t="s">
        <v>17</v>
      </c>
      <c r="E1" s="21" t="s">
        <v>18</v>
      </c>
      <c r="F1" s="21" t="s">
        <v>19</v>
      </c>
      <c r="G1" t="s">
        <v>20</v>
      </c>
      <c r="H1" t="s">
        <v>21</v>
      </c>
      <c r="I1" s="22" t="s">
        <v>1</v>
      </c>
      <c r="J1" s="24" t="s">
        <v>22</v>
      </c>
      <c r="K1" s="24" t="s">
        <v>23</v>
      </c>
      <c r="L1" s="24" t="s">
        <v>24</v>
      </c>
      <c r="M1" t="s">
        <v>25</v>
      </c>
    </row>
    <row r="2" spans="1:13" x14ac:dyDescent="0.2">
      <c r="A2" s="18">
        <v>46022</v>
      </c>
      <c r="B2" s="19">
        <v>-16</v>
      </c>
      <c r="C2" s="20">
        <v>0</v>
      </c>
      <c r="D2" s="20">
        <v>1</v>
      </c>
      <c r="E2" s="21">
        <v>0</v>
      </c>
      <c r="F2" s="21">
        <v>-16</v>
      </c>
      <c r="G2" t="s">
        <v>26</v>
      </c>
      <c r="H2" s="25" t="s">
        <v>27</v>
      </c>
      <c r="I2" s="25" t="s">
        <v>4</v>
      </c>
      <c r="J2" s="19">
        <v>3131.82</v>
      </c>
      <c r="K2" s="24">
        <v>-8317.6451666666671</v>
      </c>
      <c r="L2" s="24">
        <v>11449.465166666689</v>
      </c>
    </row>
    <row r="3" spans="1:13" x14ac:dyDescent="0.2">
      <c r="A3" s="18">
        <v>46023</v>
      </c>
      <c r="B3" s="19">
        <v>30</v>
      </c>
      <c r="C3" s="20">
        <v>1</v>
      </c>
      <c r="D3" s="20">
        <f t="shared" ref="D3:D66" si="0">IF(C3="","",1-C3)</f>
        <v>0</v>
      </c>
      <c r="E3" s="26">
        <f t="shared" ref="E3:E66" si="1">C3*B3</f>
        <v>30</v>
      </c>
      <c r="F3" s="26">
        <f t="shared" ref="F3:F66" si="2">D3*B3</f>
        <v>0</v>
      </c>
      <c r="G3" t="s">
        <v>28</v>
      </c>
      <c r="H3" s="27" t="s">
        <v>29</v>
      </c>
      <c r="I3" s="27" t="s">
        <v>4</v>
      </c>
      <c r="J3" s="19">
        <f>IF(Table2[[#This Row],[Total Amount]]="","",J2+Table2[[#This Row],[Total Amount]])</f>
        <v>3161.82</v>
      </c>
      <c r="K3" s="24">
        <f>K2+Table2[[#This Row],[$ Nemjay]]</f>
        <v>-8287.6451666666671</v>
      </c>
      <c r="L3" s="24">
        <f>L2+Table2[[#This Row],[$ Anthony]]</f>
        <v>11449.465166666689</v>
      </c>
    </row>
    <row r="4" spans="1:13" x14ac:dyDescent="0.2">
      <c r="A4" s="18">
        <v>46023</v>
      </c>
      <c r="B4" s="19">
        <v>-10</v>
      </c>
      <c r="C4" s="20">
        <v>1</v>
      </c>
      <c r="D4" s="20">
        <f t="shared" si="0"/>
        <v>0</v>
      </c>
      <c r="E4" s="26">
        <f t="shared" si="1"/>
        <v>-10</v>
      </c>
      <c r="F4" s="26">
        <f t="shared" si="2"/>
        <v>0</v>
      </c>
      <c r="G4" t="s">
        <v>30</v>
      </c>
      <c r="H4" t="s">
        <v>31</v>
      </c>
      <c r="I4" s="22" t="s">
        <v>10</v>
      </c>
      <c r="J4" s="19">
        <f>IF(Table2[[#This Row],[Total Amount]]="","",J3+Table2[[#This Row],[Total Amount]])</f>
        <v>3151.82</v>
      </c>
      <c r="K4" s="24">
        <f>K3+Table2[[#This Row],[$ Nemjay]]</f>
        <v>-8297.6451666666671</v>
      </c>
      <c r="L4" s="24">
        <f>L3+Table2[[#This Row],[$ Anthony]]</f>
        <v>11449.465166666689</v>
      </c>
    </row>
    <row r="5" spans="1:13" x14ac:dyDescent="0.2">
      <c r="A5" s="18">
        <v>46023</v>
      </c>
      <c r="B5" s="19">
        <v>-34.74</v>
      </c>
      <c r="C5" s="20">
        <v>0.5</v>
      </c>
      <c r="D5" s="20">
        <f t="shared" si="0"/>
        <v>0.5</v>
      </c>
      <c r="E5" s="26">
        <f t="shared" si="1"/>
        <v>-17.37</v>
      </c>
      <c r="F5" s="26">
        <f t="shared" si="2"/>
        <v>-17.37</v>
      </c>
      <c r="G5" t="s">
        <v>32</v>
      </c>
      <c r="H5" s="27" t="s">
        <v>6</v>
      </c>
      <c r="I5" s="27" t="s">
        <v>6</v>
      </c>
      <c r="J5" s="19">
        <f>IF(Table2[[#This Row],[Total Amount]]="","",J4+Table2[[#This Row],[Total Amount]])</f>
        <v>3117.0800000000004</v>
      </c>
      <c r="K5" s="24">
        <f>K4+Table2[[#This Row],[$ Nemjay]]</f>
        <v>-8315.0151666666679</v>
      </c>
      <c r="L5" s="24">
        <f>L4+Table2[[#This Row],[$ Anthony]]</f>
        <v>11432.095166666688</v>
      </c>
    </row>
    <row r="6" spans="1:13" x14ac:dyDescent="0.2">
      <c r="A6" s="18">
        <v>46023</v>
      </c>
      <c r="B6" s="19">
        <v>-5</v>
      </c>
      <c r="C6" s="20">
        <v>0.5</v>
      </c>
      <c r="D6" s="20">
        <f t="shared" si="0"/>
        <v>0.5</v>
      </c>
      <c r="E6" s="26">
        <f t="shared" si="1"/>
        <v>-2.5</v>
      </c>
      <c r="F6" s="26">
        <f t="shared" si="2"/>
        <v>-2.5</v>
      </c>
      <c r="G6" t="s">
        <v>33</v>
      </c>
      <c r="H6" s="27" t="s">
        <v>34</v>
      </c>
      <c r="I6" s="27" t="s">
        <v>8</v>
      </c>
      <c r="J6" s="19">
        <f>IF(Table2[[#This Row],[Total Amount]]="","",J5+Table2[[#This Row],[Total Amount]])</f>
        <v>3112.0800000000004</v>
      </c>
      <c r="K6" s="24">
        <f>K5+Table2[[#This Row],[$ Nemjay]]</f>
        <v>-8317.5151666666679</v>
      </c>
      <c r="L6" s="24">
        <f>L5+Table2[[#This Row],[$ Anthony]]</f>
        <v>11429.595166666688</v>
      </c>
    </row>
    <row r="7" spans="1:13" x14ac:dyDescent="0.2">
      <c r="A7" s="18">
        <v>46024</v>
      </c>
      <c r="B7" s="19">
        <v>-34.590000000000003</v>
      </c>
      <c r="C7" s="20">
        <v>0.5</v>
      </c>
      <c r="D7" s="20">
        <f t="shared" si="0"/>
        <v>0.5</v>
      </c>
      <c r="E7" s="26">
        <f t="shared" si="1"/>
        <v>-17.295000000000002</v>
      </c>
      <c r="F7" s="26">
        <f t="shared" si="2"/>
        <v>-17.295000000000002</v>
      </c>
      <c r="G7" t="s">
        <v>35</v>
      </c>
      <c r="H7" s="27" t="s">
        <v>36</v>
      </c>
      <c r="I7" s="27" t="s">
        <v>5</v>
      </c>
      <c r="J7" s="19">
        <f>IF(Table2[[#This Row],[Total Amount]]="","",J6+Table2[[#This Row],[Total Amount]])</f>
        <v>3077.4900000000002</v>
      </c>
      <c r="K7" s="24">
        <f>K6+Table2[[#This Row],[$ Nemjay]]</f>
        <v>-8334.810166666668</v>
      </c>
      <c r="L7" s="24">
        <f>L6+Table2[[#This Row],[$ Anthony]]</f>
        <v>11412.300166666688</v>
      </c>
    </row>
    <row r="8" spans="1:13" x14ac:dyDescent="0.2">
      <c r="A8" s="18">
        <v>46024</v>
      </c>
      <c r="B8" s="19">
        <v>-15</v>
      </c>
      <c r="C8" s="20">
        <v>0</v>
      </c>
      <c r="D8" s="20">
        <f t="shared" si="0"/>
        <v>1</v>
      </c>
      <c r="E8" s="26">
        <f t="shared" si="1"/>
        <v>0</v>
      </c>
      <c r="F8" s="26">
        <f t="shared" si="2"/>
        <v>-15</v>
      </c>
      <c r="G8" t="s">
        <v>37</v>
      </c>
      <c r="H8" t="s">
        <v>31</v>
      </c>
      <c r="I8" s="22" t="s">
        <v>10</v>
      </c>
      <c r="J8" s="19">
        <f>IF(Table2[[#This Row],[Total Amount]]="","",J7+Table2[[#This Row],[Total Amount]])</f>
        <v>3062.4900000000002</v>
      </c>
      <c r="K8" s="24">
        <f>K7+Table2[[#This Row],[$ Nemjay]]</f>
        <v>-8334.810166666668</v>
      </c>
      <c r="L8" s="24">
        <f>L7+Table2[[#This Row],[$ Anthony]]</f>
        <v>11397.300166666688</v>
      </c>
    </row>
    <row r="9" spans="1:13" x14ac:dyDescent="0.2">
      <c r="A9" s="18">
        <v>46025</v>
      </c>
      <c r="B9" s="19">
        <v>-3.5</v>
      </c>
      <c r="C9" s="20">
        <v>0.5</v>
      </c>
      <c r="D9" s="20">
        <f t="shared" si="0"/>
        <v>0.5</v>
      </c>
      <c r="E9" s="26">
        <f t="shared" si="1"/>
        <v>-1.75</v>
      </c>
      <c r="F9" s="26">
        <f t="shared" si="2"/>
        <v>-1.75</v>
      </c>
      <c r="G9" t="s">
        <v>38</v>
      </c>
      <c r="H9" s="27" t="s">
        <v>34</v>
      </c>
      <c r="I9" s="27" t="s">
        <v>8</v>
      </c>
      <c r="J9" s="19">
        <f>IF(Table2[[#This Row],[Total Amount]]="","",J8+Table2[[#This Row],[Total Amount]])</f>
        <v>3058.9900000000002</v>
      </c>
      <c r="K9" s="24">
        <f>K8+Table2[[#This Row],[$ Nemjay]]</f>
        <v>-8336.560166666668</v>
      </c>
      <c r="L9" s="24">
        <f>L8+Table2[[#This Row],[$ Anthony]]</f>
        <v>11395.550166666688</v>
      </c>
    </row>
    <row r="10" spans="1:13" x14ac:dyDescent="0.2">
      <c r="A10" s="18">
        <v>46025</v>
      </c>
      <c r="B10" s="19">
        <v>-3.5</v>
      </c>
      <c r="C10" s="20">
        <v>0.5</v>
      </c>
      <c r="D10" s="20">
        <f t="shared" si="0"/>
        <v>0.5</v>
      </c>
      <c r="E10" s="26">
        <f t="shared" si="1"/>
        <v>-1.75</v>
      </c>
      <c r="F10" s="26">
        <f t="shared" si="2"/>
        <v>-1.75</v>
      </c>
      <c r="G10" t="s">
        <v>38</v>
      </c>
      <c r="H10" s="27" t="s">
        <v>34</v>
      </c>
      <c r="I10" s="27" t="s">
        <v>8</v>
      </c>
      <c r="J10" s="19">
        <f>IF(Table2[[#This Row],[Total Amount]]="","",J9+Table2[[#This Row],[Total Amount]])</f>
        <v>3055.4900000000002</v>
      </c>
      <c r="K10" s="24">
        <f>K9+Table2[[#This Row],[$ Nemjay]]</f>
        <v>-8338.310166666668</v>
      </c>
      <c r="L10" s="24">
        <f>L9+Table2[[#This Row],[$ Anthony]]</f>
        <v>11393.800166666688</v>
      </c>
    </row>
    <row r="11" spans="1:13" x14ac:dyDescent="0.2">
      <c r="A11" s="18">
        <v>46025</v>
      </c>
      <c r="B11" s="19">
        <v>3.5</v>
      </c>
      <c r="C11" s="20">
        <v>0.5</v>
      </c>
      <c r="D11" s="20">
        <f t="shared" si="0"/>
        <v>0.5</v>
      </c>
      <c r="E11" s="26">
        <f t="shared" si="1"/>
        <v>1.75</v>
      </c>
      <c r="F11" s="26">
        <f t="shared" si="2"/>
        <v>1.75</v>
      </c>
      <c r="G11" t="s">
        <v>39</v>
      </c>
      <c r="H11" s="27" t="s">
        <v>34</v>
      </c>
      <c r="I11" s="27" t="s">
        <v>8</v>
      </c>
      <c r="J11" s="19">
        <f>IF(Table2[[#This Row],[Total Amount]]="","",J10+Table2[[#This Row],[Total Amount]])</f>
        <v>3058.9900000000002</v>
      </c>
      <c r="K11" s="24">
        <f>K10+Table2[[#This Row],[$ Nemjay]]</f>
        <v>-8336.560166666668</v>
      </c>
      <c r="L11" s="24">
        <f>L10+Table2[[#This Row],[$ Anthony]]</f>
        <v>11395.550166666688</v>
      </c>
    </row>
    <row r="12" spans="1:13" x14ac:dyDescent="0.2">
      <c r="A12" s="18">
        <v>46025</v>
      </c>
      <c r="B12" s="19">
        <v>-10</v>
      </c>
      <c r="C12" s="20">
        <v>1</v>
      </c>
      <c r="D12" s="20">
        <f t="shared" si="0"/>
        <v>0</v>
      </c>
      <c r="E12" s="26">
        <f t="shared" si="1"/>
        <v>-10</v>
      </c>
      <c r="F12" s="26">
        <f t="shared" si="2"/>
        <v>0</v>
      </c>
      <c r="G12" t="s">
        <v>30</v>
      </c>
      <c r="H12" t="s">
        <v>31</v>
      </c>
      <c r="I12" s="22" t="s">
        <v>10</v>
      </c>
      <c r="J12" s="19">
        <f>IF(Table2[[#This Row],[Total Amount]]="","",J11+Table2[[#This Row],[Total Amount]])</f>
        <v>3048.9900000000002</v>
      </c>
      <c r="K12" s="24">
        <f>K11+Table2[[#This Row],[$ Nemjay]]</f>
        <v>-8346.560166666668</v>
      </c>
      <c r="L12" s="24">
        <f>L11+Table2[[#This Row],[$ Anthony]]</f>
        <v>11395.550166666688</v>
      </c>
    </row>
    <row r="13" spans="1:13" x14ac:dyDescent="0.2">
      <c r="A13" s="18">
        <v>46025</v>
      </c>
      <c r="B13" s="19">
        <v>-6</v>
      </c>
      <c r="C13" s="20">
        <v>0.5</v>
      </c>
      <c r="D13" s="20">
        <f t="shared" si="0"/>
        <v>0.5</v>
      </c>
      <c r="E13" s="26">
        <f t="shared" si="1"/>
        <v>-3</v>
      </c>
      <c r="F13" s="26">
        <f t="shared" si="2"/>
        <v>-3</v>
      </c>
      <c r="G13" t="s">
        <v>38</v>
      </c>
      <c r="H13" s="27" t="s">
        <v>34</v>
      </c>
      <c r="I13" s="27" t="s">
        <v>8</v>
      </c>
      <c r="J13" s="19">
        <f>IF(Table2[[#This Row],[Total Amount]]="","",J12+Table2[[#This Row],[Total Amount]])</f>
        <v>3042.9900000000002</v>
      </c>
      <c r="K13" s="24">
        <f>K12+Table2[[#This Row],[$ Nemjay]]</f>
        <v>-8349.560166666668</v>
      </c>
      <c r="L13" s="24">
        <f>L12+Table2[[#This Row],[$ Anthony]]</f>
        <v>11392.550166666688</v>
      </c>
    </row>
    <row r="14" spans="1:13" x14ac:dyDescent="0.2">
      <c r="A14" s="18">
        <v>46025</v>
      </c>
      <c r="B14" s="19">
        <v>-7</v>
      </c>
      <c r="C14" s="20">
        <v>0.5</v>
      </c>
      <c r="D14" s="20">
        <f t="shared" si="0"/>
        <v>0.5</v>
      </c>
      <c r="E14" s="26">
        <f t="shared" si="1"/>
        <v>-3.5</v>
      </c>
      <c r="F14" s="26">
        <f t="shared" si="2"/>
        <v>-3.5</v>
      </c>
      <c r="G14" t="s">
        <v>38</v>
      </c>
      <c r="H14" s="27" t="s">
        <v>34</v>
      </c>
      <c r="I14" s="27" t="s">
        <v>8</v>
      </c>
      <c r="J14" s="19">
        <f>IF(Table2[[#This Row],[Total Amount]]="","",J13+Table2[[#This Row],[Total Amount]])</f>
        <v>3035.9900000000002</v>
      </c>
      <c r="K14" s="24">
        <f>K13+Table2[[#This Row],[$ Nemjay]]</f>
        <v>-8353.060166666668</v>
      </c>
      <c r="L14" s="24">
        <f>L13+Table2[[#This Row],[$ Anthony]]</f>
        <v>11389.050166666688</v>
      </c>
    </row>
    <row r="15" spans="1:13" x14ac:dyDescent="0.2">
      <c r="A15" s="18">
        <v>46025</v>
      </c>
      <c r="B15" s="19">
        <v>-3.5</v>
      </c>
      <c r="C15" s="20">
        <v>0.5</v>
      </c>
      <c r="D15" s="20">
        <f t="shared" si="0"/>
        <v>0.5</v>
      </c>
      <c r="E15" s="26">
        <f t="shared" si="1"/>
        <v>-1.75</v>
      </c>
      <c r="F15" s="26">
        <f t="shared" si="2"/>
        <v>-1.75</v>
      </c>
      <c r="G15" t="s">
        <v>38</v>
      </c>
      <c r="H15" s="27" t="s">
        <v>34</v>
      </c>
      <c r="I15" s="27" t="s">
        <v>8</v>
      </c>
      <c r="J15" s="19">
        <f>IF(Table2[[#This Row],[Total Amount]]="","",J14+Table2[[#This Row],[Total Amount]])</f>
        <v>3032.4900000000002</v>
      </c>
      <c r="K15" s="24">
        <f>K14+Table2[[#This Row],[$ Nemjay]]</f>
        <v>-8354.810166666668</v>
      </c>
      <c r="L15" s="24">
        <f>L14+Table2[[#This Row],[$ Anthony]]</f>
        <v>11387.300166666688</v>
      </c>
    </row>
    <row r="16" spans="1:13" x14ac:dyDescent="0.2">
      <c r="A16" s="18">
        <v>46025</v>
      </c>
      <c r="B16" s="19">
        <v>-7</v>
      </c>
      <c r="C16" s="20">
        <v>0.5</v>
      </c>
      <c r="D16" s="20">
        <f t="shared" si="0"/>
        <v>0.5</v>
      </c>
      <c r="E16" s="26">
        <f t="shared" si="1"/>
        <v>-3.5</v>
      </c>
      <c r="F16" s="26">
        <f t="shared" si="2"/>
        <v>-3.5</v>
      </c>
      <c r="G16" t="s">
        <v>38</v>
      </c>
      <c r="H16" s="27" t="s">
        <v>34</v>
      </c>
      <c r="I16" s="27" t="s">
        <v>8</v>
      </c>
      <c r="J16" s="19">
        <f>IF(Table2[[#This Row],[Total Amount]]="","",J15+Table2[[#This Row],[Total Amount]])</f>
        <v>3025.4900000000002</v>
      </c>
      <c r="K16" s="24">
        <f>K15+Table2[[#This Row],[$ Nemjay]]</f>
        <v>-8358.310166666668</v>
      </c>
      <c r="L16" s="24">
        <f>L15+Table2[[#This Row],[$ Anthony]]</f>
        <v>11383.800166666688</v>
      </c>
    </row>
    <row r="17" spans="1:12" x14ac:dyDescent="0.2">
      <c r="A17" s="18">
        <v>46025</v>
      </c>
      <c r="B17" s="19">
        <v>-103.83</v>
      </c>
      <c r="C17" s="20">
        <v>0.5</v>
      </c>
      <c r="D17" s="20">
        <f t="shared" si="0"/>
        <v>0.5</v>
      </c>
      <c r="E17" s="26">
        <f t="shared" si="1"/>
        <v>-51.914999999999999</v>
      </c>
      <c r="F17" s="26">
        <f t="shared" si="2"/>
        <v>-51.914999999999999</v>
      </c>
      <c r="G17" t="s">
        <v>40</v>
      </c>
      <c r="H17" s="27" t="s">
        <v>41</v>
      </c>
      <c r="I17" s="27" t="s">
        <v>10</v>
      </c>
      <c r="J17" s="19">
        <f>IF(Table2[[#This Row],[Total Amount]]="","",J16+Table2[[#This Row],[Total Amount]])</f>
        <v>2921.6600000000003</v>
      </c>
      <c r="K17" s="24">
        <f>K16+Table2[[#This Row],[$ Nemjay]]</f>
        <v>-8410.2251666666689</v>
      </c>
      <c r="L17" s="24">
        <f>L16+Table2[[#This Row],[$ Anthony]]</f>
        <v>11331.885166666687</v>
      </c>
    </row>
    <row r="18" spans="1:12" x14ac:dyDescent="0.2">
      <c r="A18" s="18">
        <v>46025</v>
      </c>
      <c r="B18" s="19">
        <v>-4.13</v>
      </c>
      <c r="C18" s="20">
        <v>0</v>
      </c>
      <c r="D18" s="20">
        <f t="shared" si="0"/>
        <v>1</v>
      </c>
      <c r="E18" s="26">
        <f t="shared" si="1"/>
        <v>0</v>
      </c>
      <c r="F18" s="26">
        <f t="shared" si="2"/>
        <v>-4.13</v>
      </c>
      <c r="G18" t="s">
        <v>42</v>
      </c>
      <c r="H18" s="27" t="s">
        <v>43</v>
      </c>
      <c r="I18" s="27" t="s">
        <v>4</v>
      </c>
      <c r="J18" s="19">
        <f>IF(Table2[[#This Row],[Total Amount]]="","",J17+Table2[[#This Row],[Total Amount]])</f>
        <v>2917.53</v>
      </c>
      <c r="K18" s="24">
        <f>K17+Table2[[#This Row],[$ Nemjay]]</f>
        <v>-8410.2251666666689</v>
      </c>
      <c r="L18" s="24">
        <f>L17+Table2[[#This Row],[$ Anthony]]</f>
        <v>11327.755166666688</v>
      </c>
    </row>
    <row r="19" spans="1:12" x14ac:dyDescent="0.2">
      <c r="A19" s="18">
        <v>46025</v>
      </c>
      <c r="B19" s="19">
        <v>-761</v>
      </c>
      <c r="C19" s="20">
        <v>0.5</v>
      </c>
      <c r="D19" s="20">
        <f t="shared" si="0"/>
        <v>0.5</v>
      </c>
      <c r="E19" s="26">
        <f t="shared" si="1"/>
        <v>-380.5</v>
      </c>
      <c r="F19" s="26">
        <f t="shared" si="2"/>
        <v>-380.5</v>
      </c>
      <c r="G19" t="s">
        <v>44</v>
      </c>
      <c r="H19" s="27" t="s">
        <v>45</v>
      </c>
      <c r="I19" s="27" t="s">
        <v>10</v>
      </c>
      <c r="J19" s="19">
        <f>IF(Table2[[#This Row],[Total Amount]]="","",J18+Table2[[#This Row],[Total Amount]])</f>
        <v>2156.5300000000002</v>
      </c>
      <c r="K19" s="24">
        <f>K18+Table2[[#This Row],[$ Nemjay]]</f>
        <v>-8790.7251666666689</v>
      </c>
      <c r="L19" s="24">
        <f>L18+Table2[[#This Row],[$ Anthony]]</f>
        <v>10947.255166666688</v>
      </c>
    </row>
    <row r="20" spans="1:12" x14ac:dyDescent="0.2">
      <c r="A20" s="18">
        <v>46025</v>
      </c>
      <c r="B20" s="19">
        <v>-80</v>
      </c>
      <c r="C20" s="20">
        <v>0.5</v>
      </c>
      <c r="D20" s="20">
        <f t="shared" si="0"/>
        <v>0.5</v>
      </c>
      <c r="E20" s="26">
        <f t="shared" si="1"/>
        <v>-40</v>
      </c>
      <c r="F20" s="26">
        <f t="shared" si="2"/>
        <v>-40</v>
      </c>
      <c r="G20" t="s">
        <v>46</v>
      </c>
      <c r="H20" s="27" t="s">
        <v>47</v>
      </c>
      <c r="I20" s="27" t="s">
        <v>4</v>
      </c>
      <c r="J20" s="19">
        <f>IF(Table2[[#This Row],[Total Amount]]="","",J19+Table2[[#This Row],[Total Amount]])</f>
        <v>2076.5300000000002</v>
      </c>
      <c r="K20" s="24">
        <f>K19+Table2[[#This Row],[$ Nemjay]]</f>
        <v>-8830.7251666666689</v>
      </c>
      <c r="L20" s="24">
        <f>L19+Table2[[#This Row],[$ Anthony]]</f>
        <v>10907.255166666688</v>
      </c>
    </row>
    <row r="21" spans="1:12" x14ac:dyDescent="0.2">
      <c r="A21" s="18">
        <v>46026</v>
      </c>
      <c r="B21" s="19">
        <v>-231</v>
      </c>
      <c r="C21" s="20">
        <v>0.5</v>
      </c>
      <c r="D21" s="20">
        <f t="shared" si="0"/>
        <v>0.5</v>
      </c>
      <c r="E21" s="26">
        <f t="shared" si="1"/>
        <v>-115.5</v>
      </c>
      <c r="F21" s="26">
        <f t="shared" si="2"/>
        <v>-115.5</v>
      </c>
      <c r="G21" t="s">
        <v>48</v>
      </c>
      <c r="H21" s="27" t="s">
        <v>49</v>
      </c>
      <c r="I21" s="27" t="s">
        <v>11</v>
      </c>
      <c r="J21" s="19">
        <f>IF(Table2[[#This Row],[Total Amount]]="","",J20+Table2[[#This Row],[Total Amount]])</f>
        <v>1845.5300000000002</v>
      </c>
      <c r="K21" s="24">
        <f>K20+Table2[[#This Row],[$ Nemjay]]</f>
        <v>-8946.2251666666689</v>
      </c>
      <c r="L21" s="24">
        <f>L20+Table2[[#This Row],[$ Anthony]]</f>
        <v>10791.755166666688</v>
      </c>
    </row>
    <row r="22" spans="1:12" x14ac:dyDescent="0.2">
      <c r="A22" s="18">
        <v>46026</v>
      </c>
      <c r="B22" s="19">
        <v>-3259</v>
      </c>
      <c r="C22" s="20">
        <v>0.5</v>
      </c>
      <c r="D22" s="20">
        <f t="shared" si="0"/>
        <v>0.5</v>
      </c>
      <c r="E22" s="26">
        <f t="shared" si="1"/>
        <v>-1629.5</v>
      </c>
      <c r="F22" s="26">
        <f t="shared" si="2"/>
        <v>-1629.5</v>
      </c>
      <c r="G22" t="s">
        <v>50</v>
      </c>
      <c r="H22" s="27" t="s">
        <v>51</v>
      </c>
      <c r="I22" s="27" t="s">
        <v>51</v>
      </c>
      <c r="J22" s="19">
        <f>IF(Table2[[#This Row],[Total Amount]]="","",J21+Table2[[#This Row],[Total Amount]])</f>
        <v>-1413.4699999999998</v>
      </c>
      <c r="K22" s="24">
        <f>K21+Table2[[#This Row],[$ Nemjay]]</f>
        <v>-10575.725166666669</v>
      </c>
      <c r="L22" s="24">
        <f>L21+Table2[[#This Row],[$ Anthony]]</f>
        <v>9162.2551666666877</v>
      </c>
    </row>
    <row r="23" spans="1:12" x14ac:dyDescent="0.2">
      <c r="A23" s="18">
        <v>46026</v>
      </c>
      <c r="B23" s="19">
        <v>2459</v>
      </c>
      <c r="C23" s="20">
        <v>0.5</v>
      </c>
      <c r="D23" s="20">
        <f t="shared" si="0"/>
        <v>0.5</v>
      </c>
      <c r="E23" s="26">
        <f t="shared" si="1"/>
        <v>1229.5</v>
      </c>
      <c r="F23" s="26">
        <f t="shared" si="2"/>
        <v>1229.5</v>
      </c>
      <c r="G23" t="s">
        <v>52</v>
      </c>
      <c r="H23" s="27" t="s">
        <v>51</v>
      </c>
      <c r="I23" s="27" t="s">
        <v>51</v>
      </c>
      <c r="J23" s="19">
        <f>IF(Table2[[#This Row],[Total Amount]]="","",J22+Table2[[#This Row],[Total Amount]])</f>
        <v>1045.5300000000002</v>
      </c>
      <c r="K23" s="24">
        <f>K22+Table2[[#This Row],[$ Nemjay]]</f>
        <v>-9346.2251666666689</v>
      </c>
      <c r="L23" s="24">
        <f>L22+Table2[[#This Row],[$ Anthony]]</f>
        <v>10391.755166666688</v>
      </c>
    </row>
    <row r="24" spans="1:12" x14ac:dyDescent="0.2">
      <c r="A24" s="18">
        <v>46026</v>
      </c>
      <c r="B24" s="19">
        <v>1000</v>
      </c>
      <c r="C24" s="20">
        <v>0</v>
      </c>
      <c r="D24" s="20">
        <f t="shared" si="0"/>
        <v>1</v>
      </c>
      <c r="E24" s="26">
        <f t="shared" si="1"/>
        <v>0</v>
      </c>
      <c r="F24" s="26">
        <f t="shared" si="2"/>
        <v>1000</v>
      </c>
      <c r="G24" t="s">
        <v>53</v>
      </c>
      <c r="H24" s="27" t="s">
        <v>54</v>
      </c>
      <c r="I24" s="27" t="s">
        <v>111</v>
      </c>
      <c r="J24" s="19">
        <f>IF(Table2[[#This Row],[Total Amount]]="","",J23+Table2[[#This Row],[Total Amount]])</f>
        <v>2045.5300000000002</v>
      </c>
      <c r="K24" s="24">
        <f>K23+Table2[[#This Row],[$ Nemjay]]</f>
        <v>-9346.2251666666689</v>
      </c>
      <c r="L24" s="24">
        <f>L23+Table2[[#This Row],[$ Anthony]]</f>
        <v>11391.755166666688</v>
      </c>
    </row>
    <row r="25" spans="1:12" x14ac:dyDescent="0.2">
      <c r="A25" s="18">
        <v>46027</v>
      </c>
      <c r="B25" s="19">
        <v>-8</v>
      </c>
      <c r="C25" s="20">
        <v>0.5</v>
      </c>
      <c r="D25" s="20">
        <f t="shared" si="0"/>
        <v>0.5</v>
      </c>
      <c r="E25" s="26">
        <f t="shared" si="1"/>
        <v>-4</v>
      </c>
      <c r="F25" s="26">
        <f t="shared" si="2"/>
        <v>-4</v>
      </c>
      <c r="G25" t="s">
        <v>55</v>
      </c>
      <c r="H25" s="27" t="s">
        <v>6</v>
      </c>
      <c r="I25" s="27" t="s">
        <v>6</v>
      </c>
      <c r="J25" s="19">
        <f>IF(Table2[[#This Row],[Total Amount]]="","",J24+Table2[[#This Row],[Total Amount]])</f>
        <v>2037.5300000000002</v>
      </c>
      <c r="K25" s="24">
        <f>K24+Table2[[#This Row],[$ Nemjay]]</f>
        <v>-9350.2251666666689</v>
      </c>
      <c r="L25" s="24">
        <f>L24+Table2[[#This Row],[$ Anthony]]</f>
        <v>11387.755166666688</v>
      </c>
    </row>
    <row r="26" spans="1:12" x14ac:dyDescent="0.2">
      <c r="A26" s="18">
        <v>46028</v>
      </c>
      <c r="B26" s="19">
        <v>6</v>
      </c>
      <c r="C26" s="20">
        <v>0.5</v>
      </c>
      <c r="D26" s="20">
        <f t="shared" si="0"/>
        <v>0.5</v>
      </c>
      <c r="E26" s="26">
        <f t="shared" si="1"/>
        <v>3</v>
      </c>
      <c r="F26" s="26">
        <f t="shared" si="2"/>
        <v>3</v>
      </c>
      <c r="G26" t="s">
        <v>39</v>
      </c>
      <c r="H26" s="27" t="s">
        <v>34</v>
      </c>
      <c r="I26" s="27" t="s">
        <v>8</v>
      </c>
      <c r="J26" s="19">
        <f>IF(Table2[[#This Row],[Total Amount]]="","",J25+Table2[[#This Row],[Total Amount]])</f>
        <v>2043.5300000000002</v>
      </c>
      <c r="K26" s="24">
        <f>K25+Table2[[#This Row],[$ Nemjay]]</f>
        <v>-9347.2251666666689</v>
      </c>
      <c r="L26" s="24">
        <f>L25+Table2[[#This Row],[$ Anthony]]</f>
        <v>11390.755166666688</v>
      </c>
    </row>
    <row r="27" spans="1:12" x14ac:dyDescent="0.2">
      <c r="A27" s="18">
        <v>46028</v>
      </c>
      <c r="B27" s="19">
        <v>3.5</v>
      </c>
      <c r="C27" s="20">
        <v>0.5</v>
      </c>
      <c r="D27" s="20">
        <f t="shared" si="0"/>
        <v>0.5</v>
      </c>
      <c r="E27" s="26">
        <f t="shared" si="1"/>
        <v>1.75</v>
      </c>
      <c r="F27" s="26">
        <f t="shared" si="2"/>
        <v>1.75</v>
      </c>
      <c r="G27" t="s">
        <v>39</v>
      </c>
      <c r="H27" s="27" t="s">
        <v>34</v>
      </c>
      <c r="I27" s="27" t="s">
        <v>8</v>
      </c>
      <c r="J27" s="19">
        <f>IF(Table2[[#This Row],[Total Amount]]="","",J26+Table2[[#This Row],[Total Amount]])</f>
        <v>2047.0300000000002</v>
      </c>
      <c r="K27" s="24">
        <f>K26+Table2[[#This Row],[$ Nemjay]]</f>
        <v>-9345.4751666666689</v>
      </c>
      <c r="L27" s="24">
        <f>L26+Table2[[#This Row],[$ Anthony]]</f>
        <v>11392.505166666688</v>
      </c>
    </row>
    <row r="28" spans="1:12" x14ac:dyDescent="0.2">
      <c r="A28" s="18">
        <v>46028</v>
      </c>
      <c r="B28" s="19">
        <v>3.5</v>
      </c>
      <c r="C28" s="20">
        <v>0.5</v>
      </c>
      <c r="D28" s="20">
        <f t="shared" si="0"/>
        <v>0.5</v>
      </c>
      <c r="E28" s="26">
        <f t="shared" si="1"/>
        <v>1.75</v>
      </c>
      <c r="F28" s="26">
        <f t="shared" si="2"/>
        <v>1.75</v>
      </c>
      <c r="G28" t="s">
        <v>39</v>
      </c>
      <c r="H28" s="27" t="s">
        <v>34</v>
      </c>
      <c r="I28" s="27" t="s">
        <v>8</v>
      </c>
      <c r="J28" s="19">
        <f>IF(Table2[[#This Row],[Total Amount]]="","",J27+Table2[[#This Row],[Total Amount]])</f>
        <v>2050.5300000000002</v>
      </c>
      <c r="K28" s="24">
        <f>K27+Table2[[#This Row],[$ Nemjay]]</f>
        <v>-9343.7251666666689</v>
      </c>
      <c r="L28" s="24">
        <f>L27+Table2[[#This Row],[$ Anthony]]</f>
        <v>11394.255166666688</v>
      </c>
    </row>
    <row r="29" spans="1:12" x14ac:dyDescent="0.2">
      <c r="A29" s="18">
        <v>46028</v>
      </c>
      <c r="B29" s="19">
        <v>7</v>
      </c>
      <c r="C29" s="20">
        <v>0.5</v>
      </c>
      <c r="D29" s="20">
        <f t="shared" si="0"/>
        <v>0.5</v>
      </c>
      <c r="E29" s="26">
        <f t="shared" si="1"/>
        <v>3.5</v>
      </c>
      <c r="F29" s="26">
        <f t="shared" si="2"/>
        <v>3.5</v>
      </c>
      <c r="G29" t="s">
        <v>39</v>
      </c>
      <c r="H29" s="27" t="s">
        <v>34</v>
      </c>
      <c r="I29" s="27" t="s">
        <v>8</v>
      </c>
      <c r="J29" s="19">
        <f>IF(Table2[[#This Row],[Total Amount]]="","",J28+Table2[[#This Row],[Total Amount]])</f>
        <v>2057.5300000000002</v>
      </c>
      <c r="K29" s="24">
        <f>K28+Table2[[#This Row],[$ Nemjay]]</f>
        <v>-9340.2251666666689</v>
      </c>
      <c r="L29" s="24">
        <f>L28+Table2[[#This Row],[$ Anthony]]</f>
        <v>11397.755166666688</v>
      </c>
    </row>
    <row r="30" spans="1:12" x14ac:dyDescent="0.2">
      <c r="A30" s="18">
        <v>46030</v>
      </c>
      <c r="B30" s="19">
        <v>7</v>
      </c>
      <c r="C30" s="20">
        <v>0.5</v>
      </c>
      <c r="D30" s="20">
        <f t="shared" si="0"/>
        <v>0.5</v>
      </c>
      <c r="E30" s="26">
        <f t="shared" si="1"/>
        <v>3.5</v>
      </c>
      <c r="F30" s="26">
        <f t="shared" si="2"/>
        <v>3.5</v>
      </c>
      <c r="G30" t="s">
        <v>39</v>
      </c>
      <c r="H30" s="27" t="s">
        <v>34</v>
      </c>
      <c r="I30" s="27" t="s">
        <v>8</v>
      </c>
      <c r="J30" s="19">
        <f>IF(Table2[[#This Row],[Total Amount]]="","",J29+Table2[[#This Row],[Total Amount]])</f>
        <v>2064.5300000000002</v>
      </c>
      <c r="K30" s="24">
        <f>K29+Table2[[#This Row],[$ Nemjay]]</f>
        <v>-9336.7251666666689</v>
      </c>
      <c r="L30" s="24">
        <f>L29+Table2[[#This Row],[$ Anthony]]</f>
        <v>11401.255166666688</v>
      </c>
    </row>
    <row r="31" spans="1:12" x14ac:dyDescent="0.2">
      <c r="A31" s="18">
        <v>46030</v>
      </c>
      <c r="B31" s="19">
        <v>-9.99</v>
      </c>
      <c r="C31" s="20">
        <v>0</v>
      </c>
      <c r="D31" s="20">
        <f t="shared" si="0"/>
        <v>1</v>
      </c>
      <c r="E31" s="26">
        <f t="shared" si="1"/>
        <v>0</v>
      </c>
      <c r="F31" s="26">
        <f t="shared" si="2"/>
        <v>-9.99</v>
      </c>
      <c r="G31" t="s">
        <v>56</v>
      </c>
      <c r="H31" s="27" t="s">
        <v>57</v>
      </c>
      <c r="I31" s="27" t="s">
        <v>7</v>
      </c>
      <c r="J31" s="19">
        <f>IF(Table2[[#This Row],[Total Amount]]="","",J30+Table2[[#This Row],[Total Amount]])</f>
        <v>2054.5400000000004</v>
      </c>
      <c r="K31" s="24">
        <f>K30+Table2[[#This Row],[$ Nemjay]]</f>
        <v>-9336.7251666666689</v>
      </c>
      <c r="L31" s="24">
        <f>L30+Table2[[#This Row],[$ Anthony]]</f>
        <v>11391.265166666688</v>
      </c>
    </row>
    <row r="32" spans="1:12" x14ac:dyDescent="0.2">
      <c r="A32" s="18">
        <v>46030</v>
      </c>
      <c r="B32" s="19">
        <v>-41.29</v>
      </c>
      <c r="C32" s="20">
        <v>0.5</v>
      </c>
      <c r="D32" s="20">
        <f t="shared" si="0"/>
        <v>0.5</v>
      </c>
      <c r="E32" s="26">
        <f t="shared" si="1"/>
        <v>-20.645</v>
      </c>
      <c r="F32" s="26">
        <f t="shared" si="2"/>
        <v>-20.645</v>
      </c>
      <c r="G32" t="s">
        <v>58</v>
      </c>
      <c r="H32" s="27" t="s">
        <v>6</v>
      </c>
      <c r="I32" s="27" t="s">
        <v>6</v>
      </c>
      <c r="J32" s="19">
        <f>IF(Table2[[#This Row],[Total Amount]]="","",J31+Table2[[#This Row],[Total Amount]])</f>
        <v>2013.2500000000005</v>
      </c>
      <c r="K32" s="24">
        <f>K31+Table2[[#This Row],[$ Nemjay]]</f>
        <v>-9357.3701666666693</v>
      </c>
      <c r="L32" s="24">
        <f>L31+Table2[[#This Row],[$ Anthony]]</f>
        <v>11370.620166666688</v>
      </c>
    </row>
    <row r="33" spans="1:12" x14ac:dyDescent="0.2">
      <c r="A33" s="18">
        <v>46030</v>
      </c>
      <c r="B33" s="19">
        <v>-40</v>
      </c>
      <c r="C33" s="20">
        <v>0</v>
      </c>
      <c r="D33" s="20">
        <f t="shared" si="0"/>
        <v>1</v>
      </c>
      <c r="E33" s="26">
        <f t="shared" si="1"/>
        <v>0</v>
      </c>
      <c r="F33" s="26">
        <f t="shared" si="2"/>
        <v>-40</v>
      </c>
      <c r="G33" t="s">
        <v>59</v>
      </c>
      <c r="H33" s="27" t="s">
        <v>60</v>
      </c>
      <c r="I33" s="27" t="s">
        <v>7</v>
      </c>
      <c r="J33" s="19">
        <f>IF(Table2[[#This Row],[Total Amount]]="","",J32+Table2[[#This Row],[Total Amount]])</f>
        <v>1973.2500000000005</v>
      </c>
      <c r="K33" s="24">
        <f>K32+Table2[[#This Row],[$ Nemjay]]</f>
        <v>-9357.3701666666693</v>
      </c>
      <c r="L33" s="24">
        <f>L32+Table2[[#This Row],[$ Anthony]]</f>
        <v>11330.620166666688</v>
      </c>
    </row>
    <row r="34" spans="1:12" x14ac:dyDescent="0.2">
      <c r="A34" s="18">
        <v>46030</v>
      </c>
      <c r="B34" s="19">
        <v>-40.57</v>
      </c>
      <c r="C34" s="20">
        <v>0.5</v>
      </c>
      <c r="D34" s="20">
        <f t="shared" si="0"/>
        <v>0.5</v>
      </c>
      <c r="E34" s="26">
        <f t="shared" si="1"/>
        <v>-20.285</v>
      </c>
      <c r="F34" s="26">
        <f t="shared" si="2"/>
        <v>-20.285</v>
      </c>
      <c r="G34" t="s">
        <v>61</v>
      </c>
      <c r="H34" s="27" t="s">
        <v>6</v>
      </c>
      <c r="I34" s="27" t="s">
        <v>6</v>
      </c>
      <c r="J34" s="19">
        <f>IF(Table2[[#This Row],[Total Amount]]="","",J33+Table2[[#This Row],[Total Amount]])</f>
        <v>1932.6800000000005</v>
      </c>
      <c r="K34" s="24">
        <f>K33+Table2[[#This Row],[$ Nemjay]]</f>
        <v>-9377.6551666666692</v>
      </c>
      <c r="L34" s="24">
        <f>L33+Table2[[#This Row],[$ Anthony]]</f>
        <v>11310.335166666688</v>
      </c>
    </row>
    <row r="35" spans="1:12" x14ac:dyDescent="0.2">
      <c r="A35" s="18">
        <v>46030</v>
      </c>
      <c r="B35" s="19">
        <v>-15</v>
      </c>
      <c r="C35" s="20">
        <v>0</v>
      </c>
      <c r="D35" s="20">
        <f t="shared" si="0"/>
        <v>1</v>
      </c>
      <c r="E35" s="26">
        <f t="shared" si="1"/>
        <v>0</v>
      </c>
      <c r="F35" s="26">
        <f t="shared" si="2"/>
        <v>-15</v>
      </c>
      <c r="G35" t="s">
        <v>37</v>
      </c>
      <c r="H35" t="s">
        <v>31</v>
      </c>
      <c r="I35" s="22" t="s">
        <v>10</v>
      </c>
      <c r="J35" s="19">
        <f>IF(Table2[[#This Row],[Total Amount]]="","",J34+Table2[[#This Row],[Total Amount]])</f>
        <v>1917.6800000000005</v>
      </c>
      <c r="K35" s="24">
        <f>K34+Table2[[#This Row],[$ Nemjay]]</f>
        <v>-9377.6551666666692</v>
      </c>
      <c r="L35" s="24">
        <f>L34+Table2[[#This Row],[$ Anthony]]</f>
        <v>11295.335166666688</v>
      </c>
    </row>
    <row r="36" spans="1:12" x14ac:dyDescent="0.2">
      <c r="A36" s="18">
        <v>46032</v>
      </c>
      <c r="B36" s="19">
        <v>-5.0599999999999996</v>
      </c>
      <c r="C36" s="20">
        <v>1</v>
      </c>
      <c r="D36" s="20">
        <f t="shared" si="0"/>
        <v>0</v>
      </c>
      <c r="E36" s="26">
        <f t="shared" si="1"/>
        <v>-5.0599999999999996</v>
      </c>
      <c r="F36" s="26">
        <f t="shared" si="2"/>
        <v>0</v>
      </c>
      <c r="G36" t="s">
        <v>62</v>
      </c>
      <c r="H36" s="27" t="s">
        <v>63</v>
      </c>
      <c r="I36" s="27" t="s">
        <v>5</v>
      </c>
      <c r="J36" s="19">
        <f>IF(Table2[[#This Row],[Total Amount]]="","",J35+Table2[[#This Row],[Total Amount]])</f>
        <v>1912.6200000000006</v>
      </c>
      <c r="K36" s="24">
        <f>K35+Table2[[#This Row],[$ Nemjay]]</f>
        <v>-9382.7151666666687</v>
      </c>
      <c r="L36" s="24">
        <f>L35+Table2[[#This Row],[$ Anthony]]</f>
        <v>11295.335166666688</v>
      </c>
    </row>
    <row r="37" spans="1:12" x14ac:dyDescent="0.2">
      <c r="A37" s="18">
        <v>46032</v>
      </c>
      <c r="B37" s="19">
        <v>-38.299999999999997</v>
      </c>
      <c r="C37" s="20">
        <v>0.5</v>
      </c>
      <c r="D37" s="20">
        <f t="shared" si="0"/>
        <v>0.5</v>
      </c>
      <c r="E37" s="26">
        <f t="shared" si="1"/>
        <v>-19.149999999999999</v>
      </c>
      <c r="F37" s="26">
        <f t="shared" si="2"/>
        <v>-19.149999999999999</v>
      </c>
      <c r="G37" t="s">
        <v>64</v>
      </c>
      <c r="H37" s="27" t="s">
        <v>5</v>
      </c>
      <c r="I37" s="27" t="s">
        <v>5</v>
      </c>
      <c r="J37" s="19">
        <f>IF(Table2[[#This Row],[Total Amount]]="","",J36+Table2[[#This Row],[Total Amount]])</f>
        <v>1874.3200000000006</v>
      </c>
      <c r="K37" s="24">
        <f>K36+Table2[[#This Row],[$ Nemjay]]</f>
        <v>-9401.8651666666683</v>
      </c>
      <c r="L37" s="24">
        <f>L36+Table2[[#This Row],[$ Anthony]]</f>
        <v>11276.185166666688</v>
      </c>
    </row>
    <row r="38" spans="1:12" x14ac:dyDescent="0.2">
      <c r="A38" s="18">
        <v>46032</v>
      </c>
      <c r="B38" s="19">
        <v>-41.04</v>
      </c>
      <c r="C38" s="20">
        <v>0.5</v>
      </c>
      <c r="D38" s="20">
        <f t="shared" si="0"/>
        <v>0.5</v>
      </c>
      <c r="E38" s="26">
        <f t="shared" si="1"/>
        <v>-20.52</v>
      </c>
      <c r="F38" s="26">
        <f t="shared" si="2"/>
        <v>-20.52</v>
      </c>
      <c r="G38" t="s">
        <v>65</v>
      </c>
      <c r="H38" s="27" t="s">
        <v>66</v>
      </c>
      <c r="I38" s="27" t="s">
        <v>11</v>
      </c>
      <c r="J38" s="19">
        <f>IF(Table2[[#This Row],[Total Amount]]="","",J37+Table2[[#This Row],[Total Amount]])</f>
        <v>1833.2800000000007</v>
      </c>
      <c r="K38" s="24">
        <f>K37+Table2[[#This Row],[$ Nemjay]]</f>
        <v>-9422.3851666666687</v>
      </c>
      <c r="L38" s="24">
        <f>L37+Table2[[#This Row],[$ Anthony]]</f>
        <v>11255.665166666688</v>
      </c>
    </row>
    <row r="39" spans="1:12" x14ac:dyDescent="0.2">
      <c r="A39" s="18">
        <v>46032</v>
      </c>
      <c r="B39" s="19">
        <v>-109.9</v>
      </c>
      <c r="C39" s="20">
        <v>0.5</v>
      </c>
      <c r="D39" s="20">
        <f t="shared" si="0"/>
        <v>0.5</v>
      </c>
      <c r="E39" s="26">
        <f t="shared" si="1"/>
        <v>-54.95</v>
      </c>
      <c r="F39" s="26">
        <f t="shared" si="2"/>
        <v>-54.95</v>
      </c>
      <c r="G39" t="s">
        <v>67</v>
      </c>
      <c r="H39" s="27" t="s">
        <v>5</v>
      </c>
      <c r="I39" s="27" t="s">
        <v>5</v>
      </c>
      <c r="J39" s="19">
        <f>IF(Table2[[#This Row],[Total Amount]]="","",J38+Table2[[#This Row],[Total Amount]])</f>
        <v>1723.3800000000006</v>
      </c>
      <c r="K39" s="24">
        <f>K38+Table2[[#This Row],[$ Nemjay]]</f>
        <v>-9477.3351666666695</v>
      </c>
      <c r="L39" s="24">
        <f>L38+Table2[[#This Row],[$ Anthony]]</f>
        <v>11200.715166666687</v>
      </c>
    </row>
    <row r="40" spans="1:12" x14ac:dyDescent="0.2">
      <c r="A40" s="18">
        <v>46032</v>
      </c>
      <c r="B40" s="19">
        <v>-15.8</v>
      </c>
      <c r="C40" s="20">
        <v>0</v>
      </c>
      <c r="D40" s="20">
        <f t="shared" si="0"/>
        <v>1</v>
      </c>
      <c r="E40" s="26">
        <f t="shared" si="1"/>
        <v>0</v>
      </c>
      <c r="F40" s="26">
        <f t="shared" si="2"/>
        <v>-15.8</v>
      </c>
      <c r="G40" t="s">
        <v>68</v>
      </c>
      <c r="H40" s="27" t="s">
        <v>69</v>
      </c>
      <c r="I40" s="27" t="s">
        <v>5</v>
      </c>
      <c r="J40" s="19">
        <f>IF(Table2[[#This Row],[Total Amount]]="","",J39+Table2[[#This Row],[Total Amount]])</f>
        <v>1707.5800000000006</v>
      </c>
      <c r="K40" s="24">
        <f>K39+Table2[[#This Row],[$ Nemjay]]</f>
        <v>-9477.3351666666695</v>
      </c>
      <c r="L40" s="24">
        <f>L39+Table2[[#This Row],[$ Anthony]]</f>
        <v>11184.915166666688</v>
      </c>
    </row>
    <row r="41" spans="1:12" x14ac:dyDescent="0.2">
      <c r="A41" s="18">
        <v>46033</v>
      </c>
      <c r="B41" s="28">
        <v>-192.66</v>
      </c>
      <c r="C41" s="20">
        <v>0.5</v>
      </c>
      <c r="D41" s="20">
        <f t="shared" si="0"/>
        <v>0.5</v>
      </c>
      <c r="E41" s="26">
        <f t="shared" si="1"/>
        <v>-96.33</v>
      </c>
      <c r="F41" s="26">
        <f t="shared" si="2"/>
        <v>-96.33</v>
      </c>
      <c r="G41" t="s">
        <v>70</v>
      </c>
      <c r="H41" s="27" t="s">
        <v>71</v>
      </c>
      <c r="I41" s="27" t="s">
        <v>11</v>
      </c>
      <c r="J41" s="19">
        <f>IF(Table2[[#This Row],[Total Amount]]="","",J40+Table2[[#This Row],[Total Amount]])</f>
        <v>1514.9200000000005</v>
      </c>
      <c r="K41" s="24">
        <f>K40+Table2[[#This Row],[$ Nemjay]]</f>
        <v>-9573.6651666666694</v>
      </c>
      <c r="L41" s="24">
        <f>L40+Table2[[#This Row],[$ Anthony]]</f>
        <v>11088.585166666688</v>
      </c>
    </row>
    <row r="42" spans="1:12" x14ac:dyDescent="0.2">
      <c r="A42" s="18">
        <v>46033</v>
      </c>
      <c r="B42" s="28">
        <v>-128.4</v>
      </c>
      <c r="C42" s="20">
        <v>0.5</v>
      </c>
      <c r="D42" s="20">
        <f t="shared" si="0"/>
        <v>0.5</v>
      </c>
      <c r="E42" s="26">
        <f t="shared" si="1"/>
        <v>-64.2</v>
      </c>
      <c r="F42" s="26">
        <f t="shared" si="2"/>
        <v>-64.2</v>
      </c>
      <c r="G42" t="s">
        <v>72</v>
      </c>
      <c r="H42" s="27" t="s">
        <v>73</v>
      </c>
      <c r="I42" s="27" t="s">
        <v>5</v>
      </c>
      <c r="J42" s="19">
        <f>IF(Table2[[#This Row],[Total Amount]]="","",J41+Table2[[#This Row],[Total Amount]])</f>
        <v>1386.5200000000004</v>
      </c>
      <c r="K42" s="24">
        <f>K41+Table2[[#This Row],[$ Nemjay]]</f>
        <v>-9637.8651666666701</v>
      </c>
      <c r="L42" s="24">
        <f>L41+Table2[[#This Row],[$ Anthony]]</f>
        <v>11024.385166666687</v>
      </c>
    </row>
    <row r="43" spans="1:12" x14ac:dyDescent="0.2">
      <c r="A43" s="18">
        <v>46034</v>
      </c>
      <c r="B43" s="28">
        <v>-5.03</v>
      </c>
      <c r="C43" s="20">
        <v>0.5</v>
      </c>
      <c r="D43" s="20">
        <f t="shared" si="0"/>
        <v>0.5</v>
      </c>
      <c r="E43" s="26">
        <f t="shared" si="1"/>
        <v>-2.5150000000000001</v>
      </c>
      <c r="F43" s="26">
        <f t="shared" si="2"/>
        <v>-2.5150000000000001</v>
      </c>
      <c r="G43" t="s">
        <v>74</v>
      </c>
      <c r="H43" s="27" t="s">
        <v>75</v>
      </c>
      <c r="I43" s="27" t="s">
        <v>5</v>
      </c>
      <c r="J43" s="19">
        <f>IF(Table2[[#This Row],[Total Amount]]="","",J42+Table2[[#This Row],[Total Amount]])</f>
        <v>1381.4900000000005</v>
      </c>
      <c r="K43" s="24">
        <f>K42+Table2[[#This Row],[$ Nemjay]]</f>
        <v>-9640.3801666666695</v>
      </c>
      <c r="L43" s="24">
        <f>L42+Table2[[#This Row],[$ Anthony]]</f>
        <v>11021.870166666688</v>
      </c>
    </row>
    <row r="44" spans="1:12" x14ac:dyDescent="0.2">
      <c r="A44" s="18">
        <v>46034</v>
      </c>
      <c r="B44" s="19">
        <v>-12.73</v>
      </c>
      <c r="C44" s="20">
        <v>1</v>
      </c>
      <c r="D44" s="20">
        <f t="shared" si="0"/>
        <v>0</v>
      </c>
      <c r="E44" s="26">
        <f t="shared" si="1"/>
        <v>-12.73</v>
      </c>
      <c r="F44" s="26">
        <f t="shared" si="2"/>
        <v>0</v>
      </c>
      <c r="G44" t="s">
        <v>76</v>
      </c>
      <c r="H44" s="27" t="s">
        <v>77</v>
      </c>
      <c r="I44" s="27" t="s">
        <v>5</v>
      </c>
      <c r="J44" s="19">
        <f>IF(Table2[[#This Row],[Total Amount]]="","",J43+Table2[[#This Row],[Total Amount]])</f>
        <v>1368.7600000000004</v>
      </c>
      <c r="K44" s="24">
        <f>K43+Table2[[#This Row],[$ Nemjay]]</f>
        <v>-9653.1101666666691</v>
      </c>
      <c r="L44" s="24">
        <f>L43+Table2[[#This Row],[$ Anthony]]</f>
        <v>11021.870166666688</v>
      </c>
    </row>
    <row r="45" spans="1:12" x14ac:dyDescent="0.2">
      <c r="A45" s="18">
        <v>46034</v>
      </c>
      <c r="B45" s="19">
        <v>-54.9</v>
      </c>
      <c r="C45" s="20">
        <v>0.5</v>
      </c>
      <c r="D45" s="20">
        <f t="shared" si="0"/>
        <v>0.5</v>
      </c>
      <c r="E45" s="26">
        <f t="shared" si="1"/>
        <v>-27.45</v>
      </c>
      <c r="F45" s="26">
        <f t="shared" si="2"/>
        <v>-27.45</v>
      </c>
      <c r="G45" t="s">
        <v>78</v>
      </c>
      <c r="H45" s="27" t="s">
        <v>6</v>
      </c>
      <c r="I45" s="27" t="s">
        <v>6</v>
      </c>
      <c r="J45" s="19">
        <f>IF(Table2[[#This Row],[Total Amount]]="","",J44+Table2[[#This Row],[Total Amount]])</f>
        <v>1313.8600000000004</v>
      </c>
      <c r="K45" s="24">
        <f>K44+Table2[[#This Row],[$ Nemjay]]</f>
        <v>-9680.5601666666698</v>
      </c>
      <c r="L45" s="24">
        <f>L44+Table2[[#This Row],[$ Anthony]]</f>
        <v>10994.420166666687</v>
      </c>
    </row>
    <row r="46" spans="1:12" x14ac:dyDescent="0.2">
      <c r="A46" s="18">
        <v>46034</v>
      </c>
      <c r="B46" s="19">
        <v>-6.4</v>
      </c>
      <c r="C46" s="20">
        <v>0.5</v>
      </c>
      <c r="D46" s="20">
        <f t="shared" si="0"/>
        <v>0.5</v>
      </c>
      <c r="E46" s="26">
        <f t="shared" si="1"/>
        <v>-3.2</v>
      </c>
      <c r="F46" s="26">
        <f t="shared" si="2"/>
        <v>-3.2</v>
      </c>
      <c r="G46" t="s">
        <v>79</v>
      </c>
      <c r="H46" s="27" t="s">
        <v>6</v>
      </c>
      <c r="I46" s="27" t="s">
        <v>6</v>
      </c>
      <c r="J46" s="19">
        <f>IF(Table2[[#This Row],[Total Amount]]="","",J45+Table2[[#This Row],[Total Amount]])</f>
        <v>1307.4600000000003</v>
      </c>
      <c r="K46" s="24">
        <f>K45+Table2[[#This Row],[$ Nemjay]]</f>
        <v>-9683.7601666666706</v>
      </c>
      <c r="L46" s="24">
        <f>L45+Table2[[#This Row],[$ Anthony]]</f>
        <v>10991.220166666686</v>
      </c>
    </row>
    <row r="47" spans="1:12" x14ac:dyDescent="0.2">
      <c r="A47" s="18">
        <v>46034</v>
      </c>
      <c r="B47" s="19">
        <v>-1.5</v>
      </c>
      <c r="C47" s="20">
        <v>0.5</v>
      </c>
      <c r="D47" s="20">
        <f t="shared" si="0"/>
        <v>0.5</v>
      </c>
      <c r="E47" s="26">
        <f t="shared" si="1"/>
        <v>-0.75</v>
      </c>
      <c r="F47" s="26">
        <f t="shared" si="2"/>
        <v>-0.75</v>
      </c>
      <c r="G47" t="s">
        <v>80</v>
      </c>
      <c r="H47" s="27" t="s">
        <v>6</v>
      </c>
      <c r="I47" s="27" t="s">
        <v>6</v>
      </c>
      <c r="J47" s="19">
        <f>IF(Table2[[#This Row],[Total Amount]]="","",J46+Table2[[#This Row],[Total Amount]])</f>
        <v>1305.9600000000003</v>
      </c>
      <c r="K47" s="24">
        <f>K46+Table2[[#This Row],[$ Nemjay]]</f>
        <v>-9684.5101666666706</v>
      </c>
      <c r="L47" s="24">
        <f>L46+Table2[[#This Row],[$ Anthony]]</f>
        <v>10990.470166666686</v>
      </c>
    </row>
    <row r="48" spans="1:12" x14ac:dyDescent="0.2">
      <c r="A48" s="18">
        <v>46035</v>
      </c>
      <c r="B48" s="19">
        <v>-87</v>
      </c>
      <c r="C48" s="20">
        <v>1</v>
      </c>
      <c r="D48" s="20">
        <f t="shared" si="0"/>
        <v>0</v>
      </c>
      <c r="E48" s="26">
        <f t="shared" si="1"/>
        <v>-87</v>
      </c>
      <c r="F48" s="26">
        <f t="shared" si="2"/>
        <v>0</v>
      </c>
      <c r="G48" t="s">
        <v>81</v>
      </c>
      <c r="H48" s="27" t="s">
        <v>82</v>
      </c>
      <c r="I48" s="27" t="s">
        <v>7</v>
      </c>
      <c r="J48" s="19">
        <f>IF(Table2[[#This Row],[Total Amount]]="","",J47+Table2[[#This Row],[Total Amount]])</f>
        <v>1218.9600000000003</v>
      </c>
      <c r="K48" s="24">
        <f>K47+Table2[[#This Row],[$ Nemjay]]</f>
        <v>-9771.5101666666706</v>
      </c>
      <c r="L48" s="24">
        <f>L47+Table2[[#This Row],[$ Anthony]]</f>
        <v>10990.470166666686</v>
      </c>
    </row>
    <row r="49" spans="1:12" x14ac:dyDescent="0.2">
      <c r="A49" s="18">
        <v>46035</v>
      </c>
      <c r="B49" s="19">
        <v>-52</v>
      </c>
      <c r="C49" s="20">
        <v>0.5</v>
      </c>
      <c r="D49" s="20">
        <f t="shared" si="0"/>
        <v>0.5</v>
      </c>
      <c r="E49" s="26">
        <f t="shared" si="1"/>
        <v>-26</v>
      </c>
      <c r="F49" s="26">
        <f t="shared" si="2"/>
        <v>-26</v>
      </c>
      <c r="G49" t="s">
        <v>83</v>
      </c>
      <c r="H49" s="27" t="s">
        <v>84</v>
      </c>
      <c r="I49" s="27" t="s">
        <v>10</v>
      </c>
      <c r="J49" s="19">
        <f>IF(Table2[[#This Row],[Total Amount]]="","",J48+Table2[[#This Row],[Total Amount]])</f>
        <v>1166.9600000000003</v>
      </c>
      <c r="K49" s="24">
        <f>K48+Table2[[#This Row],[$ Nemjay]]</f>
        <v>-9797.5101666666706</v>
      </c>
      <c r="L49" s="24">
        <f>L48+Table2[[#This Row],[$ Anthony]]</f>
        <v>10964.470166666686</v>
      </c>
    </row>
    <row r="50" spans="1:12" x14ac:dyDescent="0.2">
      <c r="A50" s="18">
        <v>46035</v>
      </c>
      <c r="B50" s="19">
        <v>-13</v>
      </c>
      <c r="C50" s="20">
        <v>0.5</v>
      </c>
      <c r="D50" s="20">
        <f t="shared" si="0"/>
        <v>0.5</v>
      </c>
      <c r="E50" s="26">
        <f t="shared" si="1"/>
        <v>-6.5</v>
      </c>
      <c r="F50" s="26">
        <f t="shared" si="2"/>
        <v>-6.5</v>
      </c>
      <c r="G50" t="s">
        <v>61</v>
      </c>
      <c r="H50" s="27" t="s">
        <v>6</v>
      </c>
      <c r="I50" s="27" t="s">
        <v>6</v>
      </c>
      <c r="J50" s="19">
        <f>IF(Table2[[#This Row],[Total Amount]]="","",J49+Table2[[#This Row],[Total Amount]])</f>
        <v>1153.9600000000003</v>
      </c>
      <c r="K50" s="24">
        <f>K49+Table2[[#This Row],[$ Nemjay]]</f>
        <v>-9804.0101666666706</v>
      </c>
      <c r="L50" s="24">
        <f>L49+Table2[[#This Row],[$ Anthony]]</f>
        <v>10957.970166666686</v>
      </c>
    </row>
    <row r="51" spans="1:12" x14ac:dyDescent="0.2">
      <c r="A51" s="18">
        <v>46035</v>
      </c>
      <c r="B51" s="19">
        <v>-19.190000000000001</v>
      </c>
      <c r="C51" s="20">
        <v>1</v>
      </c>
      <c r="D51" s="20">
        <f t="shared" si="0"/>
        <v>0</v>
      </c>
      <c r="E51" s="26">
        <f t="shared" si="1"/>
        <v>-19.190000000000001</v>
      </c>
      <c r="F51" s="26">
        <f t="shared" si="2"/>
        <v>0</v>
      </c>
      <c r="G51" t="s">
        <v>85</v>
      </c>
      <c r="H51" s="27" t="s">
        <v>86</v>
      </c>
      <c r="I51" s="27" t="s">
        <v>5</v>
      </c>
      <c r="J51" s="19">
        <f>IF(Table2[[#This Row],[Total Amount]]="","",J50+Table2[[#This Row],[Total Amount]])</f>
        <v>1134.7700000000002</v>
      </c>
      <c r="K51" s="24">
        <f>K50+Table2[[#This Row],[$ Nemjay]]</f>
        <v>-9823.2001666666711</v>
      </c>
      <c r="L51" s="24">
        <f>L50+Table2[[#This Row],[$ Anthony]]</f>
        <v>10957.970166666686</v>
      </c>
    </row>
    <row r="52" spans="1:12" x14ac:dyDescent="0.2">
      <c r="A52" s="18">
        <v>46035</v>
      </c>
      <c r="B52" s="19">
        <v>61.8</v>
      </c>
      <c r="C52" s="20">
        <v>1</v>
      </c>
      <c r="D52" s="20">
        <f t="shared" si="0"/>
        <v>0</v>
      </c>
      <c r="E52" s="26">
        <f t="shared" si="1"/>
        <v>61.8</v>
      </c>
      <c r="F52" s="26">
        <f t="shared" si="2"/>
        <v>0</v>
      </c>
      <c r="G52" t="s">
        <v>87</v>
      </c>
      <c r="H52" s="27" t="s">
        <v>88</v>
      </c>
      <c r="I52" s="27" t="s">
        <v>7</v>
      </c>
      <c r="J52" s="19">
        <f>IF(Table2[[#This Row],[Total Amount]]="","",J51+Table2[[#This Row],[Total Amount]])</f>
        <v>1196.5700000000002</v>
      </c>
      <c r="K52" s="24">
        <f>K51+Table2[[#This Row],[$ Nemjay]]</f>
        <v>-9761.4001666666718</v>
      </c>
      <c r="L52" s="24">
        <f>L51+Table2[[#This Row],[$ Anthony]]</f>
        <v>10957.970166666686</v>
      </c>
    </row>
    <row r="53" spans="1:12" x14ac:dyDescent="0.2">
      <c r="A53" s="18">
        <v>46036</v>
      </c>
      <c r="B53" s="19">
        <v>2.66</v>
      </c>
      <c r="C53" s="20">
        <v>0.5</v>
      </c>
      <c r="D53" s="20">
        <f t="shared" si="0"/>
        <v>0.5</v>
      </c>
      <c r="E53" s="26">
        <f t="shared" si="1"/>
        <v>1.33</v>
      </c>
      <c r="F53" s="26">
        <f t="shared" si="2"/>
        <v>1.33</v>
      </c>
      <c r="G53" t="s">
        <v>89</v>
      </c>
      <c r="H53" s="27" t="s">
        <v>71</v>
      </c>
      <c r="I53" s="27" t="s">
        <v>11</v>
      </c>
      <c r="J53" s="19">
        <f>IF(Table2[[#This Row],[Total Amount]]="","",J52+Table2[[#This Row],[Total Amount]])</f>
        <v>1199.2300000000002</v>
      </c>
      <c r="K53" s="24">
        <f>K52+Table2[[#This Row],[$ Nemjay]]</f>
        <v>-9760.0701666666719</v>
      </c>
      <c r="L53" s="24">
        <f>L52+Table2[[#This Row],[$ Anthony]]</f>
        <v>10959.300166666686</v>
      </c>
    </row>
    <row r="54" spans="1:12" x14ac:dyDescent="0.2">
      <c r="A54" s="29">
        <v>46036</v>
      </c>
      <c r="B54" s="19">
        <v>-30.45</v>
      </c>
      <c r="C54" s="20">
        <v>1</v>
      </c>
      <c r="D54" s="20">
        <f t="shared" si="0"/>
        <v>0</v>
      </c>
      <c r="E54" s="26">
        <f t="shared" si="1"/>
        <v>-30.45</v>
      </c>
      <c r="F54" s="26">
        <f t="shared" si="2"/>
        <v>0</v>
      </c>
      <c r="G54" t="s">
        <v>90</v>
      </c>
      <c r="H54" s="27" t="s">
        <v>91</v>
      </c>
      <c r="I54" s="27" t="s">
        <v>5</v>
      </c>
      <c r="J54" s="19">
        <f>IF(Table2[[#This Row],[Total Amount]]="","",J53+Table2[[#This Row],[Total Amount]])</f>
        <v>1168.7800000000002</v>
      </c>
      <c r="K54" s="24">
        <f>K53+Table2[[#This Row],[$ Nemjay]]</f>
        <v>-9790.5201666666726</v>
      </c>
      <c r="L54" s="24">
        <f>L53+Table2[[#This Row],[$ Anthony]]</f>
        <v>10959.300166666686</v>
      </c>
    </row>
    <row r="55" spans="1:12" x14ac:dyDescent="0.2">
      <c r="A55" s="29">
        <v>46036</v>
      </c>
      <c r="B55" s="19">
        <v>-32.99</v>
      </c>
      <c r="C55" s="20">
        <v>0</v>
      </c>
      <c r="D55" s="20">
        <f t="shared" si="0"/>
        <v>1</v>
      </c>
      <c r="E55" s="26">
        <f t="shared" si="1"/>
        <v>0</v>
      </c>
      <c r="F55" s="26">
        <f t="shared" si="2"/>
        <v>-32.99</v>
      </c>
      <c r="G55" t="s">
        <v>56</v>
      </c>
      <c r="H55" s="27" t="s">
        <v>92</v>
      </c>
      <c r="I55" s="27" t="s">
        <v>7</v>
      </c>
      <c r="J55" s="19">
        <f>IF(Table2[[#This Row],[Total Amount]]="","",J54+Table2[[#This Row],[Total Amount]])</f>
        <v>1135.7900000000002</v>
      </c>
      <c r="K55" s="24">
        <f>K54+Table2[[#This Row],[$ Nemjay]]</f>
        <v>-9790.5201666666726</v>
      </c>
      <c r="L55" s="24">
        <f>L54+Table2[[#This Row],[$ Anthony]]</f>
        <v>10926.310166666686</v>
      </c>
    </row>
    <row r="56" spans="1:12" x14ac:dyDescent="0.2">
      <c r="A56" s="29">
        <v>46036</v>
      </c>
      <c r="B56" s="19">
        <v>-8.67</v>
      </c>
      <c r="C56" s="20">
        <v>1</v>
      </c>
      <c r="D56" s="20">
        <f t="shared" si="0"/>
        <v>0</v>
      </c>
      <c r="E56" s="26">
        <f t="shared" si="1"/>
        <v>-8.67</v>
      </c>
      <c r="F56" s="26">
        <f t="shared" si="2"/>
        <v>0</v>
      </c>
      <c r="G56" t="s">
        <v>93</v>
      </c>
      <c r="H56" s="27" t="s">
        <v>77</v>
      </c>
      <c r="I56" s="27" t="s">
        <v>5</v>
      </c>
      <c r="J56" s="19">
        <f>IF(Table2[[#This Row],[Total Amount]]="","",J55+Table2[[#This Row],[Total Amount]])</f>
        <v>1127.1200000000001</v>
      </c>
      <c r="K56" s="24">
        <f>K55+Table2[[#This Row],[$ Nemjay]]</f>
        <v>-9799.1901666666727</v>
      </c>
      <c r="L56" s="24">
        <f>L55+Table2[[#This Row],[$ Anthony]]</f>
        <v>10926.310166666686</v>
      </c>
    </row>
    <row r="57" spans="1:12" x14ac:dyDescent="0.2">
      <c r="A57" s="29">
        <v>46036</v>
      </c>
      <c r="B57" s="19">
        <v>-3</v>
      </c>
      <c r="C57" s="20">
        <v>0.5</v>
      </c>
      <c r="D57" s="20">
        <f t="shared" si="0"/>
        <v>0.5</v>
      </c>
      <c r="E57" s="26">
        <f t="shared" si="1"/>
        <v>-1.5</v>
      </c>
      <c r="F57" s="26">
        <f t="shared" si="2"/>
        <v>-1.5</v>
      </c>
      <c r="G57" t="s">
        <v>32</v>
      </c>
      <c r="H57" s="27" t="s">
        <v>6</v>
      </c>
      <c r="I57" s="27" t="s">
        <v>6</v>
      </c>
      <c r="J57" s="19">
        <f>IF(Table2[[#This Row],[Total Amount]]="","",J56+Table2[[#This Row],[Total Amount]])</f>
        <v>1124.1200000000001</v>
      </c>
      <c r="K57" s="24">
        <f>K56+Table2[[#This Row],[$ Nemjay]]</f>
        <v>-9800.6901666666727</v>
      </c>
      <c r="L57" s="24">
        <f>L56+Table2[[#This Row],[$ Anthony]]</f>
        <v>10924.810166666686</v>
      </c>
    </row>
    <row r="58" spans="1:12" x14ac:dyDescent="0.2">
      <c r="A58" s="29">
        <v>46036</v>
      </c>
      <c r="B58" s="19">
        <v>-6</v>
      </c>
      <c r="C58" s="20">
        <v>0</v>
      </c>
      <c r="D58" s="20">
        <f t="shared" si="0"/>
        <v>1</v>
      </c>
      <c r="E58" s="26">
        <f t="shared" si="1"/>
        <v>0</v>
      </c>
      <c r="F58" s="26">
        <f t="shared" si="2"/>
        <v>-6</v>
      </c>
      <c r="G58" t="s">
        <v>33</v>
      </c>
      <c r="H58" s="27" t="s">
        <v>94</v>
      </c>
      <c r="I58" s="27" t="s">
        <v>8</v>
      </c>
      <c r="J58" s="19">
        <f>IF(Table2[[#This Row],[Total Amount]]="","",J57+Table2[[#This Row],[Total Amount]])</f>
        <v>1118.1200000000001</v>
      </c>
      <c r="K58" s="24">
        <f>K57+Table2[[#This Row],[$ Nemjay]]</f>
        <v>-9800.6901666666727</v>
      </c>
      <c r="L58" s="24">
        <f>L57+Table2[[#This Row],[$ Anthony]]</f>
        <v>10918.810166666686</v>
      </c>
    </row>
    <row r="59" spans="1:12" x14ac:dyDescent="0.2">
      <c r="A59" s="29">
        <v>46036</v>
      </c>
      <c r="B59" s="19">
        <v>-13.51</v>
      </c>
      <c r="C59" s="20">
        <v>0.5</v>
      </c>
      <c r="D59" s="20">
        <f t="shared" si="0"/>
        <v>0.5</v>
      </c>
      <c r="E59" s="26">
        <f t="shared" si="1"/>
        <v>-6.7549999999999999</v>
      </c>
      <c r="F59" s="26">
        <f t="shared" si="2"/>
        <v>-6.7549999999999999</v>
      </c>
      <c r="G59" t="s">
        <v>61</v>
      </c>
      <c r="H59" s="27" t="s">
        <v>95</v>
      </c>
      <c r="I59" s="27" t="s">
        <v>5</v>
      </c>
      <c r="J59" s="19">
        <f>IF(Table2[[#This Row],[Total Amount]]="","",J58+Table2[[#This Row],[Total Amount]])</f>
        <v>1104.6100000000001</v>
      </c>
      <c r="K59" s="24">
        <f>K58+Table2[[#This Row],[$ Nemjay]]</f>
        <v>-9807.4451666666719</v>
      </c>
      <c r="L59" s="24">
        <f>L58+Table2[[#This Row],[$ Anthony]]</f>
        <v>10912.055166666687</v>
      </c>
    </row>
    <row r="60" spans="1:12" x14ac:dyDescent="0.2">
      <c r="A60" s="29">
        <v>46036</v>
      </c>
      <c r="B60" s="19">
        <v>8</v>
      </c>
      <c r="C60" s="20">
        <v>0</v>
      </c>
      <c r="D60" s="20">
        <f t="shared" si="0"/>
        <v>1</v>
      </c>
      <c r="E60" s="26">
        <f t="shared" si="1"/>
        <v>0</v>
      </c>
      <c r="F60" s="26">
        <f t="shared" si="2"/>
        <v>8</v>
      </c>
      <c r="G60" t="s">
        <v>96</v>
      </c>
      <c r="H60" s="27" t="s">
        <v>97</v>
      </c>
      <c r="I60" s="27" t="s">
        <v>9</v>
      </c>
      <c r="J60" s="19">
        <f>IF(Table2[[#This Row],[Total Amount]]="","",J59+Table2[[#This Row],[Total Amount]])</f>
        <v>1112.6100000000001</v>
      </c>
      <c r="K60" s="24">
        <f>K59+Table2[[#This Row],[$ Nemjay]]</f>
        <v>-9807.4451666666719</v>
      </c>
      <c r="L60" s="24">
        <f>L59+Table2[[#This Row],[$ Anthony]]</f>
        <v>10920.055166666687</v>
      </c>
    </row>
    <row r="61" spans="1:12" x14ac:dyDescent="0.2">
      <c r="A61" s="29">
        <v>46036</v>
      </c>
      <c r="B61" s="19">
        <v>9</v>
      </c>
      <c r="C61" s="20">
        <v>0</v>
      </c>
      <c r="D61" s="20">
        <f t="shared" si="0"/>
        <v>1</v>
      </c>
      <c r="E61" s="26">
        <f t="shared" si="1"/>
        <v>0</v>
      </c>
      <c r="F61" s="26">
        <f t="shared" si="2"/>
        <v>9</v>
      </c>
      <c r="G61" t="s">
        <v>96</v>
      </c>
      <c r="H61" s="27" t="s">
        <v>97</v>
      </c>
      <c r="I61" s="27" t="s">
        <v>9</v>
      </c>
      <c r="J61" s="19">
        <f>IF(Table2[[#This Row],[Total Amount]]="","",J60+Table2[[#This Row],[Total Amount]])</f>
        <v>1121.6100000000001</v>
      </c>
      <c r="K61" s="24">
        <f>K60+Table2[[#This Row],[$ Nemjay]]</f>
        <v>-9807.4451666666719</v>
      </c>
      <c r="L61" s="24">
        <f>L60+Table2[[#This Row],[$ Anthony]]</f>
        <v>10929.055166666687</v>
      </c>
    </row>
    <row r="62" spans="1:12" x14ac:dyDescent="0.2">
      <c r="A62" s="18">
        <v>46037</v>
      </c>
      <c r="B62" s="19">
        <v>-32.47</v>
      </c>
      <c r="C62" s="20">
        <v>0</v>
      </c>
      <c r="D62" s="20">
        <f t="shared" si="0"/>
        <v>1</v>
      </c>
      <c r="E62" s="26">
        <f t="shared" si="1"/>
        <v>0</v>
      </c>
      <c r="F62" s="26">
        <f t="shared" si="2"/>
        <v>-32.47</v>
      </c>
      <c r="G62" t="s">
        <v>98</v>
      </c>
      <c r="H62" s="27" t="s">
        <v>99</v>
      </c>
      <c r="I62" s="27" t="s">
        <v>4</v>
      </c>
      <c r="J62" s="19">
        <f>IF(Table2[[#This Row],[Total Amount]]="","",J61+Table2[[#This Row],[Total Amount]])</f>
        <v>1089.1400000000001</v>
      </c>
      <c r="K62" s="24">
        <f>K61+Table2[[#This Row],[$ Nemjay]]</f>
        <v>-9807.4451666666719</v>
      </c>
      <c r="L62" s="24">
        <f>L61+Table2[[#This Row],[$ Anthony]]</f>
        <v>10896.585166666688</v>
      </c>
    </row>
    <row r="63" spans="1:12" x14ac:dyDescent="0.2">
      <c r="A63" s="18">
        <v>46038</v>
      </c>
      <c r="B63" s="19">
        <v>-10</v>
      </c>
      <c r="C63" s="20">
        <v>1</v>
      </c>
      <c r="D63" s="20">
        <f t="shared" si="0"/>
        <v>0</v>
      </c>
      <c r="E63" s="26">
        <f t="shared" si="1"/>
        <v>-10</v>
      </c>
      <c r="F63" s="26">
        <f t="shared" si="2"/>
        <v>0</v>
      </c>
      <c r="G63" t="s">
        <v>30</v>
      </c>
      <c r="H63" t="s">
        <v>31</v>
      </c>
      <c r="I63" s="22" t="s">
        <v>10</v>
      </c>
      <c r="J63" s="19">
        <f>IF(Table2[[#This Row],[Total Amount]]="","",J62+Table2[[#This Row],[Total Amount]])</f>
        <v>1079.1400000000001</v>
      </c>
      <c r="K63" s="24">
        <f>K62+Table2[[#This Row],[$ Nemjay]]</f>
        <v>-9817.4451666666719</v>
      </c>
      <c r="L63" s="24">
        <f>L62+Table2[[#This Row],[$ Anthony]]</f>
        <v>10896.585166666688</v>
      </c>
    </row>
    <row r="64" spans="1:12" x14ac:dyDescent="0.2">
      <c r="A64" s="18">
        <v>46038</v>
      </c>
      <c r="B64" s="19">
        <v>-14.2</v>
      </c>
      <c r="C64" s="20">
        <v>1</v>
      </c>
      <c r="D64" s="20">
        <f t="shared" si="0"/>
        <v>0</v>
      </c>
      <c r="E64" s="26">
        <f t="shared" si="1"/>
        <v>-14.2</v>
      </c>
      <c r="F64" s="26">
        <f t="shared" si="2"/>
        <v>0</v>
      </c>
      <c r="G64" t="s">
        <v>100</v>
      </c>
      <c r="H64" s="27" t="s">
        <v>101</v>
      </c>
      <c r="I64" s="27" t="s">
        <v>11</v>
      </c>
      <c r="J64" s="19">
        <f>IF(Table2[[#This Row],[Total Amount]]="","",J63+Table2[[#This Row],[Total Amount]])</f>
        <v>1064.94</v>
      </c>
      <c r="K64" s="24">
        <f>K63+Table2[[#This Row],[$ Nemjay]]</f>
        <v>-9831.6451666666726</v>
      </c>
      <c r="L64" s="24">
        <f>L63+Table2[[#This Row],[$ Anthony]]</f>
        <v>10896.585166666688</v>
      </c>
    </row>
    <row r="65" spans="1:12" x14ac:dyDescent="0.2">
      <c r="A65" s="18">
        <v>46039</v>
      </c>
      <c r="B65" s="19">
        <v>-10</v>
      </c>
      <c r="C65" s="20">
        <v>1</v>
      </c>
      <c r="D65" s="20">
        <f t="shared" si="0"/>
        <v>0</v>
      </c>
      <c r="E65" s="26">
        <f t="shared" si="1"/>
        <v>-10</v>
      </c>
      <c r="F65" s="26">
        <f t="shared" si="2"/>
        <v>0</v>
      </c>
      <c r="G65" t="s">
        <v>30</v>
      </c>
      <c r="H65" t="s">
        <v>31</v>
      </c>
      <c r="I65" s="22" t="s">
        <v>10</v>
      </c>
      <c r="J65" s="19">
        <f>IF(Table2[[#This Row],[Total Amount]]="","",J64+Table2[[#This Row],[Total Amount]])</f>
        <v>1054.94</v>
      </c>
      <c r="K65" s="24">
        <f>K64+Table2[[#This Row],[$ Nemjay]]</f>
        <v>-9841.6451666666726</v>
      </c>
      <c r="L65" s="24">
        <f>L64+Table2[[#This Row],[$ Anthony]]</f>
        <v>10896.585166666688</v>
      </c>
    </row>
    <row r="66" spans="1:12" x14ac:dyDescent="0.2">
      <c r="A66" s="18">
        <v>46039</v>
      </c>
      <c r="B66" s="19">
        <v>-6.9</v>
      </c>
      <c r="C66" s="20">
        <v>1</v>
      </c>
      <c r="D66" s="20">
        <f t="shared" si="0"/>
        <v>0</v>
      </c>
      <c r="E66" s="26">
        <f t="shared" si="1"/>
        <v>-6.9</v>
      </c>
      <c r="F66" s="26">
        <f t="shared" si="2"/>
        <v>0</v>
      </c>
      <c r="G66" t="s">
        <v>102</v>
      </c>
      <c r="H66" s="27" t="s">
        <v>91</v>
      </c>
      <c r="I66" s="27" t="s">
        <v>5</v>
      </c>
      <c r="J66" s="19">
        <f>IF(Table2[[#This Row],[Total Amount]]="","",J65+Table2[[#This Row],[Total Amount]])</f>
        <v>1048.04</v>
      </c>
      <c r="K66" s="24">
        <f>K65+Table2[[#This Row],[$ Nemjay]]</f>
        <v>-9848.5451666666722</v>
      </c>
      <c r="L66" s="24">
        <f>L65+Table2[[#This Row],[$ Anthony]]</f>
        <v>10896.585166666688</v>
      </c>
    </row>
    <row r="67" spans="1:12" x14ac:dyDescent="0.2">
      <c r="A67" s="18">
        <v>46040</v>
      </c>
      <c r="B67" s="19">
        <v>-64.099999999999994</v>
      </c>
      <c r="C67" s="20">
        <v>0.5</v>
      </c>
      <c r="D67" s="20">
        <f t="shared" ref="D67:D130" si="3">IF(C67="","",1-C67)</f>
        <v>0.5</v>
      </c>
      <c r="E67" s="26">
        <f t="shared" ref="E67:E130" si="4">C67*B67</f>
        <v>-32.049999999999997</v>
      </c>
      <c r="F67" s="26">
        <f t="shared" ref="F67:F130" si="5">D67*B67</f>
        <v>-32.049999999999997</v>
      </c>
      <c r="G67" t="s">
        <v>103</v>
      </c>
      <c r="H67" s="27" t="s">
        <v>6</v>
      </c>
      <c r="I67" s="27" t="s">
        <v>6</v>
      </c>
      <c r="J67" s="19">
        <f>IF(Table2[[#This Row],[Total Amount]]="","",J66+Table2[[#This Row],[Total Amount]])</f>
        <v>983.93999999999994</v>
      </c>
      <c r="K67" s="24">
        <f>K66+Table2[[#This Row],[$ Nemjay]]</f>
        <v>-9880.5951666666715</v>
      </c>
      <c r="L67" s="24">
        <f>L66+Table2[[#This Row],[$ Anthony]]</f>
        <v>10864.535166666688</v>
      </c>
    </row>
    <row r="68" spans="1:12" x14ac:dyDescent="0.2">
      <c r="A68" s="18">
        <v>46040</v>
      </c>
      <c r="B68" s="19">
        <v>-45.12</v>
      </c>
      <c r="C68" s="20">
        <v>0.5</v>
      </c>
      <c r="D68" s="20">
        <f t="shared" si="3"/>
        <v>0.5</v>
      </c>
      <c r="E68" s="26">
        <f t="shared" si="4"/>
        <v>-22.56</v>
      </c>
      <c r="F68" s="26">
        <f t="shared" si="5"/>
        <v>-22.56</v>
      </c>
      <c r="G68" t="s">
        <v>104</v>
      </c>
      <c r="H68" s="27" t="s">
        <v>105</v>
      </c>
      <c r="I68" s="27" t="s">
        <v>5</v>
      </c>
      <c r="J68" s="19">
        <f>IF(Table2[[#This Row],[Total Amount]]="","",J67+Table2[[#This Row],[Total Amount]])</f>
        <v>938.81999999999994</v>
      </c>
      <c r="K68" s="24">
        <f>K67+Table2[[#This Row],[$ Nemjay]]</f>
        <v>-9903.155166666671</v>
      </c>
      <c r="L68" s="24">
        <f>L67+Table2[[#This Row],[$ Anthony]]</f>
        <v>10841.975166666689</v>
      </c>
    </row>
    <row r="69" spans="1:12" x14ac:dyDescent="0.2">
      <c r="A69" s="18">
        <v>46040</v>
      </c>
      <c r="B69" s="19">
        <v>-10.99</v>
      </c>
      <c r="C69" s="20">
        <v>0.5</v>
      </c>
      <c r="D69" s="20">
        <f t="shared" si="3"/>
        <v>0.5</v>
      </c>
      <c r="E69" s="26">
        <f t="shared" si="4"/>
        <v>-5.4950000000000001</v>
      </c>
      <c r="F69" s="26">
        <f t="shared" si="5"/>
        <v>-5.4950000000000001</v>
      </c>
      <c r="G69" t="s">
        <v>106</v>
      </c>
      <c r="H69" s="27" t="s">
        <v>107</v>
      </c>
      <c r="I69" s="27" t="s">
        <v>7</v>
      </c>
      <c r="J69" s="19">
        <f>IF(Table2[[#This Row],[Total Amount]]="","",J68+Table2[[#This Row],[Total Amount]])</f>
        <v>927.82999999999993</v>
      </c>
      <c r="K69" s="24">
        <f>K68+Table2[[#This Row],[$ Nemjay]]</f>
        <v>-9908.6501666666718</v>
      </c>
      <c r="L69" s="24">
        <f>L68+Table2[[#This Row],[$ Anthony]]</f>
        <v>10836.480166666688</v>
      </c>
    </row>
    <row r="70" spans="1:12" x14ac:dyDescent="0.2">
      <c r="A70" s="18">
        <v>46040</v>
      </c>
      <c r="B70" s="19">
        <v>-26.05</v>
      </c>
      <c r="C70" s="20">
        <v>0.5</v>
      </c>
      <c r="D70" s="20">
        <f t="shared" si="3"/>
        <v>0.5</v>
      </c>
      <c r="E70" s="26">
        <f t="shared" si="4"/>
        <v>-13.025</v>
      </c>
      <c r="F70" s="26">
        <f t="shared" si="5"/>
        <v>-13.025</v>
      </c>
      <c r="G70" t="s">
        <v>108</v>
      </c>
      <c r="H70" s="27" t="s">
        <v>109</v>
      </c>
      <c r="I70" s="27" t="s">
        <v>6</v>
      </c>
      <c r="J70" s="19">
        <f>IF(Table2[[#This Row],[Total Amount]]="","",J69+Table2[[#This Row],[Total Amount]])</f>
        <v>901.78</v>
      </c>
      <c r="K70" s="24">
        <f>K69+Table2[[#This Row],[$ Nemjay]]</f>
        <v>-9921.6751666666714</v>
      </c>
      <c r="L70" s="24">
        <f>L69+Table2[[#This Row],[$ Anthony]]</f>
        <v>10823.455166666688</v>
      </c>
    </row>
    <row r="71" spans="1:12" x14ac:dyDescent="0.2">
      <c r="A71" s="18">
        <v>46040</v>
      </c>
      <c r="B71" s="19">
        <v>1000</v>
      </c>
      <c r="C71" s="20">
        <v>0</v>
      </c>
      <c r="D71" s="20">
        <f t="shared" si="3"/>
        <v>1</v>
      </c>
      <c r="E71" s="26">
        <f t="shared" si="4"/>
        <v>0</v>
      </c>
      <c r="F71" s="26">
        <f t="shared" si="5"/>
        <v>1000</v>
      </c>
      <c r="G71" t="s">
        <v>110</v>
      </c>
      <c r="H71" s="27" t="s">
        <v>54</v>
      </c>
      <c r="I71" s="27" t="s">
        <v>111</v>
      </c>
      <c r="J71" s="19">
        <f>IF(Table2[[#This Row],[Total Amount]]="","",J70+Table2[[#This Row],[Total Amount]])</f>
        <v>1901.78</v>
      </c>
      <c r="K71" s="24">
        <f>K70+Table2[[#This Row],[$ Nemjay]]</f>
        <v>-9921.6751666666714</v>
      </c>
      <c r="L71" s="24">
        <f>L70+Table2[[#This Row],[$ Anthony]]</f>
        <v>11823.455166666688</v>
      </c>
    </row>
    <row r="72" spans="1:12" x14ac:dyDescent="0.2">
      <c r="A72" s="18">
        <v>46040</v>
      </c>
      <c r="B72" s="19">
        <v>-13.18</v>
      </c>
      <c r="C72" s="20">
        <v>1</v>
      </c>
      <c r="D72" s="20">
        <f t="shared" si="3"/>
        <v>0</v>
      </c>
      <c r="E72" s="26">
        <f t="shared" si="4"/>
        <v>-13.18</v>
      </c>
      <c r="F72" s="26">
        <f t="shared" si="5"/>
        <v>0</v>
      </c>
      <c r="G72" t="s">
        <v>112</v>
      </c>
      <c r="H72" s="27" t="s">
        <v>113</v>
      </c>
      <c r="I72" s="27" t="s">
        <v>5</v>
      </c>
      <c r="J72" s="19">
        <f>IF(Table2[[#This Row],[Total Amount]]="","",J71+Table2[[#This Row],[Total Amount]])</f>
        <v>1888.6</v>
      </c>
      <c r="K72" s="24">
        <f>K71+Table2[[#This Row],[$ Nemjay]]</f>
        <v>-9934.8551666666717</v>
      </c>
      <c r="L72" s="24">
        <f>L71+Table2[[#This Row],[$ Anthony]]</f>
        <v>11823.455166666688</v>
      </c>
    </row>
    <row r="73" spans="1:12" x14ac:dyDescent="0.2">
      <c r="A73" s="18">
        <v>46040</v>
      </c>
      <c r="B73" s="19">
        <v>-45.62</v>
      </c>
      <c r="C73" s="20">
        <v>0</v>
      </c>
      <c r="D73" s="20">
        <f t="shared" si="3"/>
        <v>1</v>
      </c>
      <c r="E73" s="26">
        <f t="shared" si="4"/>
        <v>0</v>
      </c>
      <c r="F73" s="26">
        <f t="shared" si="5"/>
        <v>-45.62</v>
      </c>
      <c r="G73" t="s">
        <v>114</v>
      </c>
      <c r="H73" s="27" t="s">
        <v>115</v>
      </c>
      <c r="I73" s="27" t="s">
        <v>11</v>
      </c>
      <c r="J73" s="19">
        <f>IF(Table2[[#This Row],[Total Amount]]="","",J72+Table2[[#This Row],[Total Amount]])</f>
        <v>1842.98</v>
      </c>
      <c r="K73" s="24">
        <f>K72+Table2[[#This Row],[$ Nemjay]]</f>
        <v>-9934.8551666666717</v>
      </c>
      <c r="L73" s="24">
        <f>L72+Table2[[#This Row],[$ Anthony]]</f>
        <v>11777.835166666688</v>
      </c>
    </row>
    <row r="74" spans="1:12" x14ac:dyDescent="0.2">
      <c r="A74" s="18">
        <v>46041</v>
      </c>
      <c r="B74" s="19">
        <v>-45.47</v>
      </c>
      <c r="C74" s="20">
        <v>0.5</v>
      </c>
      <c r="D74" s="20">
        <f t="shared" si="3"/>
        <v>0.5</v>
      </c>
      <c r="E74" s="26">
        <f t="shared" si="4"/>
        <v>-22.734999999999999</v>
      </c>
      <c r="F74" s="26">
        <f t="shared" si="5"/>
        <v>-22.734999999999999</v>
      </c>
      <c r="G74" t="s">
        <v>116</v>
      </c>
      <c r="H74" s="27" t="s">
        <v>117</v>
      </c>
      <c r="I74" s="27" t="s">
        <v>5</v>
      </c>
      <c r="J74" s="19">
        <f>IF(Table2[[#This Row],[Total Amount]]="","",J73+Table2[[#This Row],[Total Amount]])</f>
        <v>1797.51</v>
      </c>
      <c r="K74" s="24">
        <f>K73+Table2[[#This Row],[$ Nemjay]]</f>
        <v>-9957.5901666666723</v>
      </c>
      <c r="L74" s="24">
        <f>L73+Table2[[#This Row],[$ Anthony]]</f>
        <v>11755.100166666687</v>
      </c>
    </row>
    <row r="75" spans="1:12" x14ac:dyDescent="0.2">
      <c r="A75" s="18">
        <v>46041</v>
      </c>
      <c r="B75" s="19">
        <v>-9.14</v>
      </c>
      <c r="C75" s="20">
        <v>1</v>
      </c>
      <c r="D75" s="20">
        <f t="shared" si="3"/>
        <v>0</v>
      </c>
      <c r="E75" s="26">
        <f t="shared" si="4"/>
        <v>-9.14</v>
      </c>
      <c r="F75" s="26">
        <f t="shared" si="5"/>
        <v>0</v>
      </c>
      <c r="G75" t="s">
        <v>118</v>
      </c>
      <c r="H75" s="27" t="s">
        <v>119</v>
      </c>
      <c r="I75" s="27" t="s">
        <v>5</v>
      </c>
      <c r="J75" s="19">
        <f>IF(Table2[[#This Row],[Total Amount]]="","",J74+Table2[[#This Row],[Total Amount]])</f>
        <v>1788.37</v>
      </c>
      <c r="K75" s="24">
        <f>K74+Table2[[#This Row],[$ Nemjay]]</f>
        <v>-9966.7301666666717</v>
      </c>
      <c r="L75" s="24">
        <f>L74+Table2[[#This Row],[$ Anthony]]</f>
        <v>11755.100166666687</v>
      </c>
    </row>
    <row r="76" spans="1:12" x14ac:dyDescent="0.2">
      <c r="A76" s="18">
        <v>46041</v>
      </c>
      <c r="B76" s="19">
        <v>-23.2</v>
      </c>
      <c r="C76" s="20">
        <v>0.5</v>
      </c>
      <c r="D76" s="20">
        <f t="shared" si="3"/>
        <v>0.5</v>
      </c>
      <c r="E76" s="26">
        <f t="shared" si="4"/>
        <v>-11.6</v>
      </c>
      <c r="F76" s="26">
        <f t="shared" si="5"/>
        <v>-11.6</v>
      </c>
      <c r="G76" t="s">
        <v>120</v>
      </c>
      <c r="H76" s="27" t="s">
        <v>6</v>
      </c>
      <c r="I76" s="27" t="s">
        <v>6</v>
      </c>
      <c r="J76" s="19">
        <f>IF(Table2[[#This Row],[Total Amount]]="","",J75+Table2[[#This Row],[Total Amount]])</f>
        <v>1765.1699999999998</v>
      </c>
      <c r="K76" s="24">
        <f>K75+Table2[[#This Row],[$ Nemjay]]</f>
        <v>-9978.3301666666721</v>
      </c>
      <c r="L76" s="24">
        <f>L75+Table2[[#This Row],[$ Anthony]]</f>
        <v>11743.500166666687</v>
      </c>
    </row>
    <row r="77" spans="1:12" x14ac:dyDescent="0.2">
      <c r="A77" s="18">
        <v>46041</v>
      </c>
      <c r="B77" s="19">
        <v>-7.95</v>
      </c>
      <c r="C77" s="20">
        <v>1</v>
      </c>
      <c r="D77" s="20">
        <f t="shared" si="3"/>
        <v>0</v>
      </c>
      <c r="E77" s="26">
        <f t="shared" si="4"/>
        <v>-7.95</v>
      </c>
      <c r="F77" s="26">
        <f t="shared" si="5"/>
        <v>0</v>
      </c>
      <c r="G77" t="s">
        <v>121</v>
      </c>
      <c r="H77" s="27" t="s">
        <v>122</v>
      </c>
      <c r="I77" s="27" t="s">
        <v>5</v>
      </c>
      <c r="J77" s="19">
        <f>IF(Table2[[#This Row],[Total Amount]]="","",J76+Table2[[#This Row],[Total Amount]])</f>
        <v>1757.2199999999998</v>
      </c>
      <c r="K77" s="24">
        <f>K76+Table2[[#This Row],[$ Nemjay]]</f>
        <v>-9986.2801666666728</v>
      </c>
      <c r="L77" s="24">
        <f>L76+Table2[[#This Row],[$ Anthony]]</f>
        <v>11743.500166666687</v>
      </c>
    </row>
    <row r="78" spans="1:12" x14ac:dyDescent="0.2">
      <c r="A78" s="18">
        <v>46042</v>
      </c>
      <c r="B78" s="19">
        <v>-12</v>
      </c>
      <c r="C78" s="20">
        <v>0.5</v>
      </c>
      <c r="D78" s="20">
        <f t="shared" si="3"/>
        <v>0.5</v>
      </c>
      <c r="E78" s="26">
        <f t="shared" si="4"/>
        <v>-6</v>
      </c>
      <c r="F78" s="26">
        <f t="shared" si="5"/>
        <v>-6</v>
      </c>
      <c r="G78" t="s">
        <v>123</v>
      </c>
      <c r="H78" s="27" t="s">
        <v>124</v>
      </c>
      <c r="I78" s="27" t="s">
        <v>5</v>
      </c>
      <c r="J78" s="19">
        <f>IF(Table2[[#This Row],[Total Amount]]="","",J77+Table2[[#This Row],[Total Amount]])</f>
        <v>1745.2199999999998</v>
      </c>
      <c r="K78" s="24">
        <f>K77+Table2[[#This Row],[$ Nemjay]]</f>
        <v>-9992.2801666666728</v>
      </c>
      <c r="L78" s="24">
        <f>L77+Table2[[#This Row],[$ Anthony]]</f>
        <v>11737.500166666687</v>
      </c>
    </row>
    <row r="79" spans="1:12" x14ac:dyDescent="0.2">
      <c r="A79" s="18">
        <v>46042</v>
      </c>
      <c r="B79" s="19">
        <v>-8.81</v>
      </c>
      <c r="C79" s="20">
        <v>1</v>
      </c>
      <c r="D79" s="20">
        <f t="shared" si="3"/>
        <v>0</v>
      </c>
      <c r="E79" s="26">
        <f t="shared" si="4"/>
        <v>-8.81</v>
      </c>
      <c r="F79" s="26">
        <f t="shared" si="5"/>
        <v>0</v>
      </c>
      <c r="G79" t="s">
        <v>125</v>
      </c>
      <c r="H79" s="27" t="s">
        <v>126</v>
      </c>
      <c r="I79" s="27" t="s">
        <v>5</v>
      </c>
      <c r="J79" s="19">
        <f>IF(Table2[[#This Row],[Total Amount]]="","",J78+Table2[[#This Row],[Total Amount]])</f>
        <v>1736.4099999999999</v>
      </c>
      <c r="K79" s="24">
        <f>K78+Table2[[#This Row],[$ Nemjay]]</f>
        <v>-10001.090166666672</v>
      </c>
      <c r="L79" s="24">
        <f>L78+Table2[[#This Row],[$ Anthony]]</f>
        <v>11737.500166666687</v>
      </c>
    </row>
    <row r="80" spans="1:12" x14ac:dyDescent="0.2">
      <c r="A80" s="18">
        <v>46042</v>
      </c>
      <c r="B80" s="19">
        <v>-52.88</v>
      </c>
      <c r="C80" s="20">
        <v>0.5</v>
      </c>
      <c r="D80" s="20">
        <f t="shared" si="3"/>
        <v>0.5</v>
      </c>
      <c r="E80" s="26">
        <f t="shared" si="4"/>
        <v>-26.44</v>
      </c>
      <c r="F80" s="26">
        <f t="shared" si="5"/>
        <v>-26.44</v>
      </c>
      <c r="G80" t="s">
        <v>127</v>
      </c>
      <c r="H80" s="27" t="s">
        <v>128</v>
      </c>
      <c r="I80" s="27" t="s">
        <v>5</v>
      </c>
      <c r="J80" s="19">
        <f>IF(Table2[[#This Row],[Total Amount]]="","",J79+Table2[[#This Row],[Total Amount]])</f>
        <v>1683.5299999999997</v>
      </c>
      <c r="K80" s="24">
        <f>K79+Table2[[#This Row],[$ Nemjay]]</f>
        <v>-10027.530166666673</v>
      </c>
      <c r="L80" s="24">
        <f>L79+Table2[[#This Row],[$ Anthony]]</f>
        <v>11711.060166666686</v>
      </c>
    </row>
    <row r="81" spans="1:12" x14ac:dyDescent="0.2">
      <c r="A81" s="18">
        <v>46043</v>
      </c>
      <c r="B81" s="19">
        <v>-12.9</v>
      </c>
      <c r="C81" s="20">
        <v>1</v>
      </c>
      <c r="D81" s="20">
        <f t="shared" si="3"/>
        <v>0</v>
      </c>
      <c r="E81" s="26">
        <f t="shared" si="4"/>
        <v>-12.9</v>
      </c>
      <c r="F81" s="26">
        <f t="shared" si="5"/>
        <v>0</v>
      </c>
      <c r="G81" t="s">
        <v>129</v>
      </c>
      <c r="H81" s="27" t="s">
        <v>130</v>
      </c>
      <c r="I81" s="27" t="s">
        <v>5</v>
      </c>
      <c r="J81" s="19">
        <f>IF(Table2[[#This Row],[Total Amount]]="","",J80+Table2[[#This Row],[Total Amount]])</f>
        <v>1670.6299999999997</v>
      </c>
      <c r="K81" s="24">
        <f>K80+Table2[[#This Row],[$ Nemjay]]</f>
        <v>-10040.430166666672</v>
      </c>
      <c r="L81" s="24">
        <f>L80+Table2[[#This Row],[$ Anthony]]</f>
        <v>11711.060166666686</v>
      </c>
    </row>
    <row r="82" spans="1:12" x14ac:dyDescent="0.2">
      <c r="A82" s="18">
        <v>46043</v>
      </c>
      <c r="B82" s="19">
        <v>-41.11</v>
      </c>
      <c r="C82" s="20">
        <v>0.5</v>
      </c>
      <c r="D82" s="20">
        <f t="shared" si="3"/>
        <v>0.5</v>
      </c>
      <c r="E82" s="26">
        <f t="shared" si="4"/>
        <v>-20.555</v>
      </c>
      <c r="F82" s="26">
        <f t="shared" si="5"/>
        <v>-20.555</v>
      </c>
      <c r="G82" t="s">
        <v>131</v>
      </c>
      <c r="H82" s="27" t="s">
        <v>132</v>
      </c>
      <c r="I82" s="27" t="s">
        <v>10</v>
      </c>
      <c r="J82" s="19">
        <f>IF(Table2[[#This Row],[Total Amount]]="","",J81+Table2[[#This Row],[Total Amount]])</f>
        <v>1629.5199999999998</v>
      </c>
      <c r="K82" s="24">
        <f>K81+Table2[[#This Row],[$ Nemjay]]</f>
        <v>-10060.985166666673</v>
      </c>
      <c r="L82" s="24">
        <f>L81+Table2[[#This Row],[$ Anthony]]</f>
        <v>11690.505166666686</v>
      </c>
    </row>
    <row r="83" spans="1:12" x14ac:dyDescent="0.2">
      <c r="A83" s="18">
        <v>46043</v>
      </c>
      <c r="B83" s="19">
        <v>-11</v>
      </c>
      <c r="C83" s="20">
        <v>0.5</v>
      </c>
      <c r="D83" s="20">
        <f t="shared" si="3"/>
        <v>0.5</v>
      </c>
      <c r="E83" s="26">
        <f t="shared" si="4"/>
        <v>-5.5</v>
      </c>
      <c r="F83" s="26">
        <f t="shared" si="5"/>
        <v>-5.5</v>
      </c>
      <c r="G83" t="s">
        <v>133</v>
      </c>
      <c r="H83" s="27" t="s">
        <v>134</v>
      </c>
      <c r="I83" s="27" t="s">
        <v>10</v>
      </c>
      <c r="J83" s="19">
        <f>IF(Table2[[#This Row],[Total Amount]]="","",J82+Table2[[#This Row],[Total Amount]])</f>
        <v>1618.5199999999998</v>
      </c>
      <c r="K83" s="24">
        <f>K82+Table2[[#This Row],[$ Nemjay]]</f>
        <v>-10066.485166666673</v>
      </c>
      <c r="L83" s="24">
        <f>L82+Table2[[#This Row],[$ Anthony]]</f>
        <v>11685.005166666686</v>
      </c>
    </row>
    <row r="84" spans="1:12" x14ac:dyDescent="0.2">
      <c r="A84" s="18">
        <v>46045</v>
      </c>
      <c r="B84" s="19">
        <v>-8</v>
      </c>
      <c r="C84" s="20">
        <v>0</v>
      </c>
      <c r="D84" s="20">
        <f t="shared" si="3"/>
        <v>1</v>
      </c>
      <c r="E84" s="26">
        <f t="shared" si="4"/>
        <v>0</v>
      </c>
      <c r="F84" s="26">
        <f t="shared" si="5"/>
        <v>-8</v>
      </c>
      <c r="G84" t="s">
        <v>135</v>
      </c>
      <c r="H84" s="27" t="s">
        <v>5</v>
      </c>
      <c r="I84" s="27" t="s">
        <v>5</v>
      </c>
      <c r="J84" s="19">
        <f>IF(Table2[[#This Row],[Total Amount]]="","",J83+Table2[[#This Row],[Total Amount]])</f>
        <v>1610.5199999999998</v>
      </c>
      <c r="K84" s="24">
        <f>K83+Table2[[#This Row],[$ Nemjay]]</f>
        <v>-10066.485166666673</v>
      </c>
      <c r="L84" s="24">
        <f>L83+Table2[[#This Row],[$ Anthony]]</f>
        <v>11677.005166666686</v>
      </c>
    </row>
    <row r="85" spans="1:12" x14ac:dyDescent="0.2">
      <c r="A85" s="18">
        <v>46045</v>
      </c>
      <c r="B85" s="19">
        <v>-61.55</v>
      </c>
      <c r="C85" s="20">
        <v>0.5</v>
      </c>
      <c r="D85" s="20">
        <f t="shared" si="3"/>
        <v>0.5</v>
      </c>
      <c r="E85" s="26">
        <f t="shared" si="4"/>
        <v>-30.774999999999999</v>
      </c>
      <c r="F85" s="26">
        <f t="shared" si="5"/>
        <v>-30.774999999999999</v>
      </c>
      <c r="G85" t="s">
        <v>136</v>
      </c>
      <c r="H85" s="27" t="s">
        <v>6</v>
      </c>
      <c r="I85" s="27" t="s">
        <v>6</v>
      </c>
      <c r="J85" s="19">
        <f>IF(Table2[[#This Row],[Total Amount]]="","",J84+Table2[[#This Row],[Total Amount]])</f>
        <v>1548.9699999999998</v>
      </c>
      <c r="K85" s="24">
        <f>K84+Table2[[#This Row],[$ Nemjay]]</f>
        <v>-10097.260166666672</v>
      </c>
      <c r="L85" s="24">
        <f>L84+Table2[[#This Row],[$ Anthony]]</f>
        <v>11646.230166666686</v>
      </c>
    </row>
    <row r="86" spans="1:12" x14ac:dyDescent="0.2">
      <c r="A86" s="18">
        <v>46045</v>
      </c>
      <c r="B86" s="19">
        <v>-12.73</v>
      </c>
      <c r="C86" s="20">
        <v>1</v>
      </c>
      <c r="D86" s="20">
        <f t="shared" si="3"/>
        <v>0</v>
      </c>
      <c r="E86" s="26">
        <f t="shared" si="4"/>
        <v>-12.73</v>
      </c>
      <c r="F86" s="26">
        <f t="shared" si="5"/>
        <v>0</v>
      </c>
      <c r="G86" t="s">
        <v>137</v>
      </c>
      <c r="H86" s="27" t="s">
        <v>77</v>
      </c>
      <c r="I86" s="27" t="s">
        <v>5</v>
      </c>
      <c r="J86" s="19">
        <f>IF(Table2[[#This Row],[Total Amount]]="","",J85+Table2[[#This Row],[Total Amount]])</f>
        <v>1536.2399999999998</v>
      </c>
      <c r="K86" s="24">
        <f>K85+Table2[[#This Row],[$ Nemjay]]</f>
        <v>-10109.990166666672</v>
      </c>
      <c r="L86" s="24">
        <f>L85+Table2[[#This Row],[$ Anthony]]</f>
        <v>11646.230166666686</v>
      </c>
    </row>
    <row r="87" spans="1:12" x14ac:dyDescent="0.2">
      <c r="A87" s="18">
        <v>46045</v>
      </c>
      <c r="B87" s="19">
        <v>-18.59</v>
      </c>
      <c r="C87" s="20">
        <v>0.5</v>
      </c>
      <c r="D87" s="20">
        <f t="shared" si="3"/>
        <v>0.5</v>
      </c>
      <c r="E87" s="26">
        <f t="shared" si="4"/>
        <v>-9.2949999999999999</v>
      </c>
      <c r="F87" s="26">
        <f t="shared" si="5"/>
        <v>-9.2949999999999999</v>
      </c>
      <c r="G87" t="s">
        <v>138</v>
      </c>
      <c r="H87" s="27" t="s">
        <v>139</v>
      </c>
      <c r="I87" s="27" t="s">
        <v>8</v>
      </c>
      <c r="J87" s="19">
        <f>IF(Table2[[#This Row],[Total Amount]]="","",J86+Table2[[#This Row],[Total Amount]])</f>
        <v>1517.6499999999999</v>
      </c>
      <c r="K87" s="24">
        <f>K86+Table2[[#This Row],[$ Nemjay]]</f>
        <v>-10119.285166666672</v>
      </c>
      <c r="L87" s="24">
        <f>L86+Table2[[#This Row],[$ Anthony]]</f>
        <v>11636.935166666686</v>
      </c>
    </row>
    <row r="88" spans="1:12" x14ac:dyDescent="0.2">
      <c r="A88" s="18">
        <v>46045</v>
      </c>
      <c r="B88" s="19">
        <v>-66</v>
      </c>
      <c r="C88" s="20">
        <v>1</v>
      </c>
      <c r="D88" s="20">
        <f t="shared" si="3"/>
        <v>0</v>
      </c>
      <c r="E88" s="26">
        <f t="shared" si="4"/>
        <v>-66</v>
      </c>
      <c r="F88" s="26">
        <f t="shared" si="5"/>
        <v>0</v>
      </c>
      <c r="G88" t="s">
        <v>140</v>
      </c>
      <c r="H88" s="27" t="s">
        <v>141</v>
      </c>
      <c r="I88" s="27" t="s">
        <v>7</v>
      </c>
      <c r="J88" s="19">
        <f>IF(Table2[[#This Row],[Total Amount]]="","",J87+Table2[[#This Row],[Total Amount]])</f>
        <v>1451.6499999999999</v>
      </c>
      <c r="K88" s="24">
        <f>K87+Table2[[#This Row],[$ Nemjay]]</f>
        <v>-10185.285166666672</v>
      </c>
      <c r="L88" s="24">
        <f>L87+Table2[[#This Row],[$ Anthony]]</f>
        <v>11636.935166666686</v>
      </c>
    </row>
    <row r="89" spans="1:12" x14ac:dyDescent="0.2">
      <c r="A89" s="18">
        <v>46045</v>
      </c>
      <c r="B89" s="19">
        <v>-15</v>
      </c>
      <c r="C89" s="20">
        <v>0</v>
      </c>
      <c r="D89" s="20">
        <f t="shared" si="3"/>
        <v>1</v>
      </c>
      <c r="E89" s="26">
        <f t="shared" si="4"/>
        <v>0</v>
      </c>
      <c r="F89" s="26">
        <f t="shared" si="5"/>
        <v>-15</v>
      </c>
      <c r="G89" t="s">
        <v>37</v>
      </c>
      <c r="H89" s="27" t="s">
        <v>31</v>
      </c>
      <c r="I89" s="27" t="s">
        <v>10</v>
      </c>
      <c r="J89" s="19">
        <f>IF(Table2[[#This Row],[Total Amount]]="","",J88+Table2[[#This Row],[Total Amount]])</f>
        <v>1436.6499999999999</v>
      </c>
      <c r="K89" s="24">
        <f>K88+Table2[[#This Row],[$ Nemjay]]</f>
        <v>-10185.285166666672</v>
      </c>
      <c r="L89" s="24">
        <f>L88+Table2[[#This Row],[$ Anthony]]</f>
        <v>11621.935166666686</v>
      </c>
    </row>
    <row r="90" spans="1:12" x14ac:dyDescent="0.2">
      <c r="A90" s="18">
        <v>46045</v>
      </c>
      <c r="B90" s="19">
        <v>-6.9</v>
      </c>
      <c r="C90" s="20">
        <v>0</v>
      </c>
      <c r="D90" s="20">
        <f t="shared" si="3"/>
        <v>1</v>
      </c>
      <c r="E90" s="26">
        <f t="shared" si="4"/>
        <v>0</v>
      </c>
      <c r="F90" s="26">
        <f t="shared" si="5"/>
        <v>-6.9</v>
      </c>
      <c r="G90" t="s">
        <v>37</v>
      </c>
      <c r="H90" t="s">
        <v>31</v>
      </c>
      <c r="I90" s="22" t="s">
        <v>10</v>
      </c>
      <c r="J90" s="19">
        <f>IF(Table2[[#This Row],[Total Amount]]="","",J89+Table2[[#This Row],[Total Amount]])</f>
        <v>1429.7499999999998</v>
      </c>
      <c r="K90" s="24">
        <f>K89+Table2[[#This Row],[$ Nemjay]]</f>
        <v>-10185.285166666672</v>
      </c>
      <c r="L90" s="24">
        <f>L89+Table2[[#This Row],[$ Anthony]]</f>
        <v>11615.035166666687</v>
      </c>
    </row>
    <row r="91" spans="1:12" x14ac:dyDescent="0.2">
      <c r="A91" s="18">
        <v>46046</v>
      </c>
      <c r="B91" s="30">
        <v>-10</v>
      </c>
      <c r="C91" s="20">
        <v>1</v>
      </c>
      <c r="D91" s="20">
        <f t="shared" si="3"/>
        <v>0</v>
      </c>
      <c r="E91" s="26">
        <f t="shared" si="4"/>
        <v>-10</v>
      </c>
      <c r="F91" s="26">
        <f t="shared" si="5"/>
        <v>0</v>
      </c>
      <c r="G91" t="s">
        <v>30</v>
      </c>
      <c r="H91" s="25" t="s">
        <v>142</v>
      </c>
      <c r="I91" s="25" t="s">
        <v>5</v>
      </c>
      <c r="J91" s="19">
        <f>IF(Table2[[#This Row],[Total Amount]]="","",J90+Table2[[#This Row],[Total Amount]])</f>
        <v>1419.7499999999998</v>
      </c>
      <c r="K91" s="24">
        <f>K90+Table2[[#This Row],[$ Nemjay]]</f>
        <v>-10195.285166666672</v>
      </c>
      <c r="L91" s="24">
        <f>L90+Table2[[#This Row],[$ Anthony]]</f>
        <v>11615.035166666687</v>
      </c>
    </row>
    <row r="92" spans="1:12" x14ac:dyDescent="0.2">
      <c r="A92" s="18">
        <v>46046</v>
      </c>
      <c r="B92" s="30">
        <v>-0.5</v>
      </c>
      <c r="C92" s="20">
        <v>0</v>
      </c>
      <c r="D92" s="20">
        <f t="shared" si="3"/>
        <v>1</v>
      </c>
      <c r="E92" s="26">
        <f t="shared" si="4"/>
        <v>0</v>
      </c>
      <c r="F92" s="26">
        <f t="shared" si="5"/>
        <v>-0.5</v>
      </c>
      <c r="G92" t="s">
        <v>143</v>
      </c>
      <c r="H92" t="s">
        <v>144</v>
      </c>
      <c r="I92" s="22" t="s">
        <v>5</v>
      </c>
      <c r="J92" s="19">
        <f>IF(Table2[[#This Row],[Total Amount]]="","",J91+Table2[[#This Row],[Total Amount]])</f>
        <v>1419.2499999999998</v>
      </c>
      <c r="K92" s="24">
        <f>K91+Table2[[#This Row],[$ Nemjay]]</f>
        <v>-10195.285166666672</v>
      </c>
      <c r="L92" s="24">
        <f>L91+Table2[[#This Row],[$ Anthony]]</f>
        <v>11614.535166666687</v>
      </c>
    </row>
    <row r="93" spans="1:12" x14ac:dyDescent="0.2">
      <c r="A93" s="18">
        <v>46046</v>
      </c>
      <c r="B93" s="30">
        <v>-5.7</v>
      </c>
      <c r="C93" s="20">
        <v>1</v>
      </c>
      <c r="D93" s="20">
        <f t="shared" si="3"/>
        <v>0</v>
      </c>
      <c r="E93" s="26">
        <f t="shared" si="4"/>
        <v>-5.7</v>
      </c>
      <c r="F93" s="26">
        <f t="shared" si="5"/>
        <v>0</v>
      </c>
      <c r="G93" t="s">
        <v>143</v>
      </c>
      <c r="H93" t="s">
        <v>144</v>
      </c>
      <c r="I93" s="22" t="s">
        <v>5</v>
      </c>
      <c r="J93" s="19">
        <f>IF(Table2[[#This Row],[Total Amount]]="","",J92+Table2[[#This Row],[Total Amount]])</f>
        <v>1413.5499999999997</v>
      </c>
      <c r="K93" s="24">
        <f>K92+Table2[[#This Row],[$ Nemjay]]</f>
        <v>-10200.985166666673</v>
      </c>
      <c r="L93" s="24">
        <f>L92+Table2[[#This Row],[$ Anthony]]</f>
        <v>11614.535166666687</v>
      </c>
    </row>
    <row r="94" spans="1:12" x14ac:dyDescent="0.2">
      <c r="A94" s="18">
        <v>46046</v>
      </c>
      <c r="B94" s="30">
        <v>-7.65</v>
      </c>
      <c r="C94" s="20">
        <v>1</v>
      </c>
      <c r="D94" s="20">
        <f t="shared" si="3"/>
        <v>0</v>
      </c>
      <c r="E94" s="26">
        <f t="shared" si="4"/>
        <v>-7.65</v>
      </c>
      <c r="F94" s="26">
        <f t="shared" si="5"/>
        <v>0</v>
      </c>
      <c r="G94" t="s">
        <v>145</v>
      </c>
      <c r="H94" t="s">
        <v>144</v>
      </c>
      <c r="I94" s="22" t="s">
        <v>5</v>
      </c>
      <c r="J94" s="19">
        <f>IF(Table2[[#This Row],[Total Amount]]="","",J93+Table2[[#This Row],[Total Amount]])</f>
        <v>1405.8999999999996</v>
      </c>
      <c r="K94" s="24">
        <f>K93+Table2[[#This Row],[$ Nemjay]]</f>
        <v>-10208.635166666672</v>
      </c>
      <c r="L94" s="24">
        <f>L93+Table2[[#This Row],[$ Anthony]]</f>
        <v>11614.535166666687</v>
      </c>
    </row>
    <row r="95" spans="1:12" x14ac:dyDescent="0.2">
      <c r="A95" s="18">
        <v>46046</v>
      </c>
      <c r="B95" s="30">
        <v>-0.5</v>
      </c>
      <c r="C95" s="20">
        <v>0</v>
      </c>
      <c r="D95" s="20">
        <f t="shared" si="3"/>
        <v>1</v>
      </c>
      <c r="E95" s="26">
        <f t="shared" si="4"/>
        <v>0</v>
      </c>
      <c r="F95" s="26">
        <f t="shared" si="5"/>
        <v>-0.5</v>
      </c>
      <c r="G95" t="s">
        <v>145</v>
      </c>
      <c r="H95" t="s">
        <v>144</v>
      </c>
      <c r="I95" s="22" t="s">
        <v>5</v>
      </c>
      <c r="J95" s="19">
        <f>IF(Table2[[#This Row],[Total Amount]]="","",J94+Table2[[#This Row],[Total Amount]])</f>
        <v>1405.3999999999996</v>
      </c>
      <c r="K95" s="24">
        <f>K94+Table2[[#This Row],[$ Nemjay]]</f>
        <v>-10208.635166666672</v>
      </c>
      <c r="L95" s="24">
        <f>L94+Table2[[#This Row],[$ Anthony]]</f>
        <v>11614.035166666687</v>
      </c>
    </row>
    <row r="96" spans="1:12" x14ac:dyDescent="0.2">
      <c r="A96" s="18">
        <v>46046</v>
      </c>
      <c r="B96" s="30">
        <v>-73.55</v>
      </c>
      <c r="C96" s="20">
        <v>0.5</v>
      </c>
      <c r="D96" s="20">
        <f t="shared" si="3"/>
        <v>0.5</v>
      </c>
      <c r="E96" s="26">
        <f t="shared" si="4"/>
        <v>-36.774999999999999</v>
      </c>
      <c r="F96" s="26">
        <f t="shared" si="5"/>
        <v>-36.774999999999999</v>
      </c>
      <c r="G96" t="s">
        <v>146</v>
      </c>
      <c r="H96" t="s">
        <v>147</v>
      </c>
      <c r="I96" s="22" t="s">
        <v>5</v>
      </c>
      <c r="J96" s="19">
        <f>IF(Table2[[#This Row],[Total Amount]]="","",J95+Table2[[#This Row],[Total Amount]])</f>
        <v>1331.8499999999997</v>
      </c>
      <c r="K96" s="24">
        <f>K95+Table2[[#This Row],[$ Nemjay]]</f>
        <v>-10245.410166666672</v>
      </c>
      <c r="L96" s="24">
        <f>L95+Table2[[#This Row],[$ Anthony]]</f>
        <v>11577.260166666687</v>
      </c>
    </row>
    <row r="97" spans="1:12" x14ac:dyDescent="0.2">
      <c r="A97" s="18">
        <v>46046</v>
      </c>
      <c r="B97" s="30">
        <v>-6</v>
      </c>
      <c r="C97" s="20">
        <v>0.5</v>
      </c>
      <c r="D97" s="20">
        <f t="shared" si="3"/>
        <v>0.5</v>
      </c>
      <c r="E97" s="26">
        <f t="shared" si="4"/>
        <v>-3</v>
      </c>
      <c r="F97" s="26">
        <f t="shared" si="5"/>
        <v>-3</v>
      </c>
      <c r="G97" t="s">
        <v>148</v>
      </c>
      <c r="H97" t="s">
        <v>147</v>
      </c>
      <c r="I97" s="22" t="s">
        <v>5</v>
      </c>
      <c r="J97" s="19">
        <f>IF(Table2[[#This Row],[Total Amount]]="","",J96+Table2[[#This Row],[Total Amount]])</f>
        <v>1325.8499999999997</v>
      </c>
      <c r="K97" s="24">
        <f>K96+Table2[[#This Row],[$ Nemjay]]</f>
        <v>-10248.410166666672</v>
      </c>
      <c r="L97" s="24">
        <f>L96+Table2[[#This Row],[$ Anthony]]</f>
        <v>11574.260166666687</v>
      </c>
    </row>
    <row r="98" spans="1:12" x14ac:dyDescent="0.2">
      <c r="A98" s="18">
        <v>46046</v>
      </c>
      <c r="B98" s="30">
        <v>-16.38</v>
      </c>
      <c r="C98" s="20">
        <v>0.5</v>
      </c>
      <c r="D98" s="20">
        <f t="shared" si="3"/>
        <v>0.5</v>
      </c>
      <c r="E98" s="26">
        <f t="shared" si="4"/>
        <v>-8.19</v>
      </c>
      <c r="F98" s="26">
        <f t="shared" si="5"/>
        <v>-8.19</v>
      </c>
      <c r="G98" t="s">
        <v>149</v>
      </c>
      <c r="H98" t="s">
        <v>150</v>
      </c>
      <c r="I98" s="22" t="s">
        <v>5</v>
      </c>
      <c r="J98" s="19">
        <f>IF(Table2[[#This Row],[Total Amount]]="","",J97+Table2[[#This Row],[Total Amount]])</f>
        <v>1309.4699999999996</v>
      </c>
      <c r="K98" s="24">
        <f>K97+Table2[[#This Row],[$ Nemjay]]</f>
        <v>-10256.600166666673</v>
      </c>
      <c r="L98" s="24">
        <f>L97+Table2[[#This Row],[$ Anthony]]</f>
        <v>11566.070166666686</v>
      </c>
    </row>
    <row r="99" spans="1:12" x14ac:dyDescent="0.2">
      <c r="A99" s="18">
        <v>46046</v>
      </c>
      <c r="B99" s="30">
        <v>-11.1</v>
      </c>
      <c r="C99" s="20">
        <v>1</v>
      </c>
      <c r="D99" s="20">
        <f t="shared" si="3"/>
        <v>0</v>
      </c>
      <c r="E99" s="26">
        <f t="shared" si="4"/>
        <v>-11.1</v>
      </c>
      <c r="F99" s="26">
        <f t="shared" si="5"/>
        <v>0</v>
      </c>
      <c r="G99" t="s">
        <v>151</v>
      </c>
      <c r="H99" t="s">
        <v>152</v>
      </c>
      <c r="I99" s="22" t="s">
        <v>5</v>
      </c>
      <c r="J99" s="19">
        <f>IF(Table2[[#This Row],[Total Amount]]="","",J98+Table2[[#This Row],[Total Amount]])</f>
        <v>1298.3699999999997</v>
      </c>
      <c r="K99" s="24">
        <f>K98+Table2[[#This Row],[$ Nemjay]]</f>
        <v>-10267.700166666673</v>
      </c>
      <c r="L99" s="24">
        <f>L98+Table2[[#This Row],[$ Anthony]]</f>
        <v>11566.070166666686</v>
      </c>
    </row>
    <row r="100" spans="1:12" x14ac:dyDescent="0.2">
      <c r="A100" s="18">
        <v>46047</v>
      </c>
      <c r="B100" s="30">
        <v>-3</v>
      </c>
      <c r="C100" s="20">
        <v>0</v>
      </c>
      <c r="D100" s="20">
        <f t="shared" si="3"/>
        <v>1</v>
      </c>
      <c r="E100" s="26">
        <f t="shared" si="4"/>
        <v>0</v>
      </c>
      <c r="F100" s="26">
        <f t="shared" si="5"/>
        <v>-3</v>
      </c>
      <c r="G100" t="s">
        <v>153</v>
      </c>
      <c r="H100" t="s">
        <v>154</v>
      </c>
      <c r="I100" s="22" t="s">
        <v>10</v>
      </c>
      <c r="J100" s="19">
        <f>IF(Table2[[#This Row],[Total Amount]]="","",J99+Table2[[#This Row],[Total Amount]])</f>
        <v>1295.3699999999997</v>
      </c>
      <c r="K100" s="24">
        <f>K99+Table2[[#This Row],[$ Nemjay]]</f>
        <v>-10267.700166666673</v>
      </c>
      <c r="L100" s="24">
        <f>L99+Table2[[#This Row],[$ Anthony]]</f>
        <v>11563.070166666686</v>
      </c>
    </row>
    <row r="101" spans="1:12" x14ac:dyDescent="0.2">
      <c r="A101" s="18">
        <v>46047</v>
      </c>
      <c r="B101" s="30">
        <v>-50</v>
      </c>
      <c r="C101" s="20">
        <v>0</v>
      </c>
      <c r="D101" s="20">
        <f t="shared" si="3"/>
        <v>1</v>
      </c>
      <c r="E101" s="26">
        <f t="shared" si="4"/>
        <v>0</v>
      </c>
      <c r="F101" s="26">
        <f t="shared" si="5"/>
        <v>-50</v>
      </c>
      <c r="G101" t="s">
        <v>155</v>
      </c>
      <c r="H101" t="s">
        <v>154</v>
      </c>
      <c r="I101" s="22" t="s">
        <v>10</v>
      </c>
      <c r="J101" s="19">
        <f>IF(Table2[[#This Row],[Total Amount]]="","",J100+Table2[[#This Row],[Total Amount]])</f>
        <v>1245.3699999999997</v>
      </c>
      <c r="K101" s="24">
        <f>K100+Table2[[#This Row],[$ Nemjay]]</f>
        <v>-10267.700166666673</v>
      </c>
      <c r="L101" s="24">
        <f>L100+Table2[[#This Row],[$ Anthony]]</f>
        <v>11513.070166666686</v>
      </c>
    </row>
    <row r="102" spans="1:12" x14ac:dyDescent="0.2">
      <c r="A102" s="18">
        <v>46050</v>
      </c>
      <c r="B102" s="30">
        <v>-20</v>
      </c>
      <c r="C102" s="20">
        <v>0.5</v>
      </c>
      <c r="D102" s="20">
        <f t="shared" si="3"/>
        <v>0.5</v>
      </c>
      <c r="E102" s="26">
        <f t="shared" si="4"/>
        <v>-10</v>
      </c>
      <c r="F102" s="26">
        <f t="shared" si="5"/>
        <v>-10</v>
      </c>
      <c r="G102" t="s">
        <v>156</v>
      </c>
      <c r="H102" t="s">
        <v>6</v>
      </c>
      <c r="I102" s="22" t="s">
        <v>6</v>
      </c>
      <c r="J102" s="19">
        <f>IF(Table2[[#This Row],[Total Amount]]="","",J101+Table2[[#This Row],[Total Amount]])</f>
        <v>1225.3699999999997</v>
      </c>
      <c r="K102" s="24">
        <f>K101+Table2[[#This Row],[$ Nemjay]]</f>
        <v>-10277.700166666673</v>
      </c>
      <c r="L102" s="24">
        <f>L101+Table2[[#This Row],[$ Anthony]]</f>
        <v>11503.070166666686</v>
      </c>
    </row>
    <row r="103" spans="1:12" x14ac:dyDescent="0.2">
      <c r="A103" s="18">
        <v>46050</v>
      </c>
      <c r="B103" s="30">
        <v>-32.299999999999997</v>
      </c>
      <c r="C103" s="20">
        <v>0.5</v>
      </c>
      <c r="D103" s="20">
        <f t="shared" si="3"/>
        <v>0.5</v>
      </c>
      <c r="E103" s="26">
        <f t="shared" si="4"/>
        <v>-16.149999999999999</v>
      </c>
      <c r="F103" s="26">
        <f t="shared" si="5"/>
        <v>-16.149999999999999</v>
      </c>
      <c r="G103" t="s">
        <v>78</v>
      </c>
      <c r="H103" t="s">
        <v>6</v>
      </c>
      <c r="I103" s="22" t="s">
        <v>6</v>
      </c>
      <c r="J103" s="19">
        <f>IF(Table2[[#This Row],[Total Amount]]="","",J102+Table2[[#This Row],[Total Amount]])</f>
        <v>1193.0699999999997</v>
      </c>
      <c r="K103" s="24">
        <f>K102+Table2[[#This Row],[$ Nemjay]]</f>
        <v>-10293.850166666673</v>
      </c>
      <c r="L103" s="24">
        <f>L102+Table2[[#This Row],[$ Anthony]]</f>
        <v>11486.920166666687</v>
      </c>
    </row>
    <row r="104" spans="1:12" x14ac:dyDescent="0.2">
      <c r="A104" s="18">
        <v>46050</v>
      </c>
      <c r="B104" s="30">
        <v>-53.47</v>
      </c>
      <c r="C104" s="20">
        <v>0.73</v>
      </c>
      <c r="D104" s="20">
        <f t="shared" si="3"/>
        <v>0.27</v>
      </c>
      <c r="E104" s="26">
        <f t="shared" si="4"/>
        <v>-39.033099999999997</v>
      </c>
      <c r="F104" s="26">
        <f t="shared" si="5"/>
        <v>-14.436900000000001</v>
      </c>
      <c r="G104" t="s">
        <v>157</v>
      </c>
      <c r="H104" t="s">
        <v>6</v>
      </c>
      <c r="I104" s="22" t="s">
        <v>6</v>
      </c>
      <c r="J104" s="19">
        <f>IF(Table2[[#This Row],[Total Amount]]="","",J103+Table2[[#This Row],[Total Amount]])</f>
        <v>1139.5999999999997</v>
      </c>
      <c r="K104" s="24">
        <f>K103+Table2[[#This Row],[$ Nemjay]]</f>
        <v>-10332.883266666673</v>
      </c>
      <c r="L104" s="24">
        <f>L103+Table2[[#This Row],[$ Anthony]]</f>
        <v>11472.483266666686</v>
      </c>
    </row>
    <row r="105" spans="1:12" x14ac:dyDescent="0.2">
      <c r="A105" s="18">
        <v>46053</v>
      </c>
      <c r="B105" s="30">
        <v>-15.55</v>
      </c>
      <c r="C105" s="20">
        <v>1</v>
      </c>
      <c r="D105" s="20">
        <f t="shared" si="3"/>
        <v>0</v>
      </c>
      <c r="E105" s="26">
        <f t="shared" si="4"/>
        <v>-15.55</v>
      </c>
      <c r="F105" s="26">
        <f t="shared" si="5"/>
        <v>0</v>
      </c>
      <c r="G105" t="s">
        <v>158</v>
      </c>
      <c r="H105" t="s">
        <v>159</v>
      </c>
      <c r="I105" s="22" t="s">
        <v>207</v>
      </c>
      <c r="J105" s="19">
        <f>IF(Table2[[#This Row],[Total Amount]]="","",J104+Table2[[#This Row],[Total Amount]])</f>
        <v>1124.0499999999997</v>
      </c>
      <c r="K105" s="24">
        <f>K104+Table2[[#This Row],[$ Nemjay]]</f>
        <v>-10348.433266666672</v>
      </c>
      <c r="L105" s="24">
        <f>L104+Table2[[#This Row],[$ Anthony]]</f>
        <v>11472.483266666686</v>
      </c>
    </row>
    <row r="106" spans="1:12" x14ac:dyDescent="0.2">
      <c r="A106" s="18">
        <v>46054</v>
      </c>
      <c r="B106" s="30">
        <v>-149</v>
      </c>
      <c r="C106" s="20">
        <v>0</v>
      </c>
      <c r="D106" s="20">
        <f t="shared" si="3"/>
        <v>1</v>
      </c>
      <c r="E106" s="26">
        <f t="shared" si="4"/>
        <v>0</v>
      </c>
      <c r="F106" s="26">
        <f t="shared" si="5"/>
        <v>-149</v>
      </c>
      <c r="G106" t="s">
        <v>160</v>
      </c>
      <c r="H106" t="s">
        <v>161</v>
      </c>
      <c r="I106" s="22" t="s">
        <v>4</v>
      </c>
      <c r="J106" s="19">
        <f>IF(Table2[[#This Row],[Total Amount]]="","",J105+Table2[[#This Row],[Total Amount]])</f>
        <v>975.04999999999973</v>
      </c>
      <c r="K106" s="24">
        <f>K105+Table2[[#This Row],[$ Nemjay]]</f>
        <v>-10348.433266666672</v>
      </c>
      <c r="L106" s="24">
        <f>L105+Table2[[#This Row],[$ Anthony]]</f>
        <v>11323.483266666686</v>
      </c>
    </row>
    <row r="107" spans="1:12" x14ac:dyDescent="0.2">
      <c r="A107" s="18">
        <v>46054</v>
      </c>
      <c r="B107" s="30">
        <v>-91.27</v>
      </c>
      <c r="C107" s="20">
        <v>0.5</v>
      </c>
      <c r="D107" s="20">
        <f t="shared" si="3"/>
        <v>0.5</v>
      </c>
      <c r="E107" s="26">
        <f t="shared" si="4"/>
        <v>-45.634999999999998</v>
      </c>
      <c r="F107" s="26">
        <f t="shared" si="5"/>
        <v>-45.634999999999998</v>
      </c>
      <c r="G107" t="s">
        <v>162</v>
      </c>
      <c r="H107" t="s">
        <v>6</v>
      </c>
      <c r="I107" s="22" t="s">
        <v>6</v>
      </c>
      <c r="J107" s="19">
        <f>IF(Table2[[#This Row],[Total Amount]]="","",J106+Table2[[#This Row],[Total Amount]])</f>
        <v>883.77999999999975</v>
      </c>
      <c r="K107" s="24">
        <f>K106+Table2[[#This Row],[$ Nemjay]]</f>
        <v>-10394.068266666673</v>
      </c>
      <c r="L107" s="24">
        <f>L106+Table2[[#This Row],[$ Anthony]]</f>
        <v>11277.848266666686</v>
      </c>
    </row>
    <row r="108" spans="1:12" x14ac:dyDescent="0.2">
      <c r="A108" s="18">
        <v>46055</v>
      </c>
      <c r="B108" s="30">
        <v>-95.76</v>
      </c>
      <c r="C108" s="20">
        <v>0</v>
      </c>
      <c r="D108" s="20">
        <f t="shared" si="3"/>
        <v>1</v>
      </c>
      <c r="E108" s="26">
        <f t="shared" si="4"/>
        <v>0</v>
      </c>
      <c r="F108" s="26">
        <f t="shared" si="5"/>
        <v>-95.76</v>
      </c>
      <c r="G108" t="s">
        <v>37</v>
      </c>
      <c r="H108" t="s">
        <v>31</v>
      </c>
      <c r="I108" s="22" t="s">
        <v>10</v>
      </c>
      <c r="J108" s="19">
        <f>IF(Table2[[#This Row],[Total Amount]]="","",J107+Table2[[#This Row],[Total Amount]])</f>
        <v>788.01999999999975</v>
      </c>
      <c r="K108" s="24">
        <f>K107+Table2[[#This Row],[$ Nemjay]]</f>
        <v>-10394.068266666673</v>
      </c>
      <c r="L108" s="24">
        <f>L107+Table2[[#This Row],[$ Anthony]]</f>
        <v>11182.088266666686</v>
      </c>
    </row>
    <row r="109" spans="1:12" x14ac:dyDescent="0.2">
      <c r="A109" s="18">
        <v>46055</v>
      </c>
      <c r="B109" s="30">
        <v>-15</v>
      </c>
      <c r="C109" s="20">
        <v>0</v>
      </c>
      <c r="D109" s="20">
        <f t="shared" si="3"/>
        <v>1</v>
      </c>
      <c r="E109" s="26">
        <f t="shared" si="4"/>
        <v>0</v>
      </c>
      <c r="F109" s="26">
        <f t="shared" si="5"/>
        <v>-15</v>
      </c>
      <c r="G109" t="s">
        <v>37</v>
      </c>
      <c r="H109" t="s">
        <v>31</v>
      </c>
      <c r="I109" s="22" t="s">
        <v>10</v>
      </c>
      <c r="J109" s="19">
        <f>IF(Table2[[#This Row],[Total Amount]]="","",J108+Table2[[#This Row],[Total Amount]])</f>
        <v>773.01999999999975</v>
      </c>
      <c r="K109" s="24">
        <f>K108+Table2[[#This Row],[$ Nemjay]]</f>
        <v>-10394.068266666673</v>
      </c>
      <c r="L109" s="24">
        <f>L108+Table2[[#This Row],[$ Anthony]]</f>
        <v>11167.088266666686</v>
      </c>
    </row>
    <row r="110" spans="1:12" x14ac:dyDescent="0.2">
      <c r="A110" s="18">
        <v>46056</v>
      </c>
      <c r="B110" s="30">
        <v>-4.13</v>
      </c>
      <c r="C110" s="20">
        <v>0</v>
      </c>
      <c r="D110" s="20">
        <f t="shared" si="3"/>
        <v>1</v>
      </c>
      <c r="E110" s="26">
        <f t="shared" si="4"/>
        <v>0</v>
      </c>
      <c r="F110" s="26">
        <f t="shared" si="5"/>
        <v>-4.13</v>
      </c>
      <c r="G110" t="s">
        <v>42</v>
      </c>
      <c r="H110" t="s">
        <v>43</v>
      </c>
      <c r="I110" s="22" t="s">
        <v>4</v>
      </c>
      <c r="J110" s="19">
        <f>IF(Table2[[#This Row],[Total Amount]]="","",J109+Table2[[#This Row],[Total Amount]])</f>
        <v>768.88999999999976</v>
      </c>
      <c r="K110" s="24">
        <f>K109+Table2[[#This Row],[$ Nemjay]]</f>
        <v>-10394.068266666673</v>
      </c>
      <c r="L110" s="24">
        <f>L109+Table2[[#This Row],[$ Anthony]]</f>
        <v>11162.958266666687</v>
      </c>
    </row>
    <row r="111" spans="1:12" x14ac:dyDescent="0.2">
      <c r="A111" s="18">
        <v>46056</v>
      </c>
      <c r="B111" s="30">
        <v>-54.7</v>
      </c>
      <c r="C111" s="20">
        <v>0.5</v>
      </c>
      <c r="D111" s="20">
        <f t="shared" si="3"/>
        <v>0.5</v>
      </c>
      <c r="E111" s="26">
        <f t="shared" si="4"/>
        <v>-27.35</v>
      </c>
      <c r="F111" s="26">
        <f t="shared" si="5"/>
        <v>-27.35</v>
      </c>
      <c r="G111" t="s">
        <v>32</v>
      </c>
      <c r="H111" t="s">
        <v>6</v>
      </c>
      <c r="I111" s="22" t="s">
        <v>6</v>
      </c>
      <c r="J111" s="19">
        <f>IF(Table2[[#This Row],[Total Amount]]="","",J110+Table2[[#This Row],[Total Amount]])</f>
        <v>714.18999999999971</v>
      </c>
      <c r="K111" s="24">
        <f>K110+Table2[[#This Row],[$ Nemjay]]</f>
        <v>-10421.418266666673</v>
      </c>
      <c r="L111" s="24">
        <f>L110+Table2[[#This Row],[$ Anthony]]</f>
        <v>11135.608266666686</v>
      </c>
    </row>
    <row r="112" spans="1:12" x14ac:dyDescent="0.2">
      <c r="A112" s="18">
        <v>46056</v>
      </c>
      <c r="B112" s="30">
        <v>-80</v>
      </c>
      <c r="C112" s="20">
        <v>0.5</v>
      </c>
      <c r="D112" s="20">
        <f t="shared" si="3"/>
        <v>0.5</v>
      </c>
      <c r="E112" s="26">
        <f t="shared" si="4"/>
        <v>-40</v>
      </c>
      <c r="F112" s="26">
        <f t="shared" si="5"/>
        <v>-40</v>
      </c>
      <c r="G112" t="s">
        <v>163</v>
      </c>
      <c r="H112" t="s">
        <v>47</v>
      </c>
      <c r="I112" s="22" t="s">
        <v>4</v>
      </c>
      <c r="J112" s="19">
        <f>IF(Table2[[#This Row],[Total Amount]]="","",J111+Table2[[#This Row],[Total Amount]])</f>
        <v>634.18999999999971</v>
      </c>
      <c r="K112" s="24">
        <f>K111+Table2[[#This Row],[$ Nemjay]]</f>
        <v>-10461.418266666673</v>
      </c>
      <c r="L112" s="24">
        <f>L111+Table2[[#This Row],[$ Anthony]]</f>
        <v>11095.608266666686</v>
      </c>
    </row>
    <row r="113" spans="1:12" x14ac:dyDescent="0.2">
      <c r="A113" s="18">
        <v>46058</v>
      </c>
      <c r="B113" s="30">
        <v>-36</v>
      </c>
      <c r="C113" s="20">
        <v>1</v>
      </c>
      <c r="D113" s="20">
        <f t="shared" si="3"/>
        <v>0</v>
      </c>
      <c r="E113" s="26">
        <f t="shared" si="4"/>
        <v>-36</v>
      </c>
      <c r="F113" s="26">
        <f t="shared" si="5"/>
        <v>0</v>
      </c>
      <c r="G113" t="s">
        <v>164</v>
      </c>
      <c r="H113" t="s">
        <v>165</v>
      </c>
      <c r="I113" s="22" t="s">
        <v>8</v>
      </c>
      <c r="J113" s="19">
        <f>IF(Table2[[#This Row],[Total Amount]]="","",J112+Table2[[#This Row],[Total Amount]])</f>
        <v>598.18999999999971</v>
      </c>
      <c r="K113" s="24">
        <f>K112+Table2[[#This Row],[$ Nemjay]]</f>
        <v>-10497.418266666673</v>
      </c>
      <c r="L113" s="24">
        <f>L112+Table2[[#This Row],[$ Anthony]]</f>
        <v>11095.608266666686</v>
      </c>
    </row>
    <row r="114" spans="1:12" x14ac:dyDescent="0.2">
      <c r="A114" s="18">
        <v>46058</v>
      </c>
      <c r="B114" s="30">
        <v>-10</v>
      </c>
      <c r="C114" s="20">
        <v>1</v>
      </c>
      <c r="D114" s="20">
        <f t="shared" si="3"/>
        <v>0</v>
      </c>
      <c r="E114" s="26">
        <f t="shared" si="4"/>
        <v>-10</v>
      </c>
      <c r="F114" s="26">
        <f t="shared" si="5"/>
        <v>0</v>
      </c>
      <c r="G114" t="s">
        <v>30</v>
      </c>
      <c r="H114" t="s">
        <v>31</v>
      </c>
      <c r="I114" s="22" t="s">
        <v>10</v>
      </c>
      <c r="J114" s="19">
        <f>IF(Table2[[#This Row],[Total Amount]]="","",J113+Table2[[#This Row],[Total Amount]])</f>
        <v>588.18999999999971</v>
      </c>
      <c r="K114" s="24">
        <f>K113+Table2[[#This Row],[$ Nemjay]]</f>
        <v>-10507.418266666673</v>
      </c>
      <c r="L114" s="24">
        <f>L113+Table2[[#This Row],[$ Anthony]]</f>
        <v>11095.608266666686</v>
      </c>
    </row>
    <row r="115" spans="1:12" x14ac:dyDescent="0.2">
      <c r="A115" s="18">
        <v>46059</v>
      </c>
      <c r="B115" s="30">
        <v>-10</v>
      </c>
      <c r="C115" s="20">
        <v>1</v>
      </c>
      <c r="D115" s="20">
        <f t="shared" si="3"/>
        <v>0</v>
      </c>
      <c r="E115" s="26">
        <f t="shared" si="4"/>
        <v>-10</v>
      </c>
      <c r="F115" s="26">
        <f t="shared" si="5"/>
        <v>0</v>
      </c>
      <c r="G115" t="s">
        <v>166</v>
      </c>
      <c r="H115" t="s">
        <v>167</v>
      </c>
      <c r="I115" s="22" t="s">
        <v>4</v>
      </c>
      <c r="J115" s="19">
        <f>IF(Table2[[#This Row],[Total Amount]]="","",J114+Table2[[#This Row],[Total Amount]])</f>
        <v>578.18999999999971</v>
      </c>
      <c r="K115" s="24">
        <f>K114+Table2[[#This Row],[$ Nemjay]]</f>
        <v>-10517.418266666673</v>
      </c>
      <c r="L115" s="24">
        <f>L114+Table2[[#This Row],[$ Anthony]]</f>
        <v>11095.608266666686</v>
      </c>
    </row>
    <row r="116" spans="1:12" x14ac:dyDescent="0.2">
      <c r="A116" s="18">
        <v>46060</v>
      </c>
      <c r="B116" s="30">
        <v>-28</v>
      </c>
      <c r="C116" s="20">
        <v>0</v>
      </c>
      <c r="D116" s="20">
        <f t="shared" si="3"/>
        <v>1</v>
      </c>
      <c r="E116" s="26">
        <f t="shared" si="4"/>
        <v>0</v>
      </c>
      <c r="F116" s="26">
        <f t="shared" si="5"/>
        <v>-28</v>
      </c>
      <c r="G116" t="s">
        <v>168</v>
      </c>
      <c r="H116" t="s">
        <v>169</v>
      </c>
      <c r="I116" s="22" t="s">
        <v>7</v>
      </c>
      <c r="J116" s="19">
        <f>IF(Table2[[#This Row],[Total Amount]]="","",J115+Table2[[#This Row],[Total Amount]])</f>
        <v>550.18999999999971</v>
      </c>
      <c r="K116" s="24">
        <f>K115+Table2[[#This Row],[$ Nemjay]]</f>
        <v>-10517.418266666673</v>
      </c>
      <c r="L116" s="24">
        <f>L115+Table2[[#This Row],[$ Anthony]]</f>
        <v>11067.608266666686</v>
      </c>
    </row>
    <row r="117" spans="1:12" x14ac:dyDescent="0.2">
      <c r="A117" s="18">
        <v>46061</v>
      </c>
      <c r="B117" s="30">
        <v>1000</v>
      </c>
      <c r="C117" s="20">
        <v>0</v>
      </c>
      <c r="D117" s="20">
        <f t="shared" si="3"/>
        <v>1</v>
      </c>
      <c r="E117" s="26">
        <f t="shared" si="4"/>
        <v>0</v>
      </c>
      <c r="F117" s="26">
        <f t="shared" si="5"/>
        <v>1000</v>
      </c>
      <c r="G117" t="s">
        <v>170</v>
      </c>
      <c r="H117" t="s">
        <v>54</v>
      </c>
      <c r="I117" s="22" t="s">
        <v>111</v>
      </c>
      <c r="J117" s="19">
        <f>IF(Table2[[#This Row],[Total Amount]]="","",J116+Table2[[#This Row],[Total Amount]])</f>
        <v>1550.1899999999996</v>
      </c>
      <c r="K117" s="24">
        <f>K116+Table2[[#This Row],[$ Nemjay]]</f>
        <v>-10517.418266666673</v>
      </c>
      <c r="L117" s="24">
        <f>L116+Table2[[#This Row],[$ Anthony]]</f>
        <v>12067.608266666686</v>
      </c>
    </row>
    <row r="118" spans="1:12" x14ac:dyDescent="0.2">
      <c r="A118" s="18">
        <v>46062</v>
      </c>
      <c r="B118" s="30">
        <v>-12</v>
      </c>
      <c r="C118" s="20">
        <v>1</v>
      </c>
      <c r="D118" s="20">
        <f t="shared" si="3"/>
        <v>0</v>
      </c>
      <c r="E118" s="26">
        <f t="shared" si="4"/>
        <v>-12</v>
      </c>
      <c r="F118" s="26">
        <f t="shared" si="5"/>
        <v>0</v>
      </c>
      <c r="G118" t="s">
        <v>171</v>
      </c>
      <c r="H118" t="s">
        <v>165</v>
      </c>
      <c r="I118" s="22" t="s">
        <v>165</v>
      </c>
      <c r="J118" s="19">
        <f>IF(Table2[[#This Row],[Total Amount]]="","",J117+Table2[[#This Row],[Total Amount]])</f>
        <v>1538.1899999999996</v>
      </c>
      <c r="K118" s="24">
        <f>K117+Table2[[#This Row],[$ Nemjay]]</f>
        <v>-10529.418266666673</v>
      </c>
      <c r="L118" s="24">
        <f>L117+Table2[[#This Row],[$ Anthony]]</f>
        <v>12067.608266666686</v>
      </c>
    </row>
    <row r="119" spans="1:12" x14ac:dyDescent="0.2">
      <c r="A119" s="18">
        <v>46062</v>
      </c>
      <c r="B119" s="30">
        <v>-5.7</v>
      </c>
      <c r="C119" s="20">
        <v>1</v>
      </c>
      <c r="D119" s="20">
        <f t="shared" si="3"/>
        <v>0</v>
      </c>
      <c r="E119" s="26">
        <f t="shared" si="4"/>
        <v>-5.7</v>
      </c>
      <c r="F119" s="26">
        <f t="shared" si="5"/>
        <v>0</v>
      </c>
      <c r="G119" t="s">
        <v>102</v>
      </c>
      <c r="H119" t="s">
        <v>91</v>
      </c>
      <c r="I119" s="22" t="s">
        <v>5</v>
      </c>
      <c r="J119" s="19">
        <f>IF(Table2[[#This Row],[Total Amount]]="","",J118+Table2[[#This Row],[Total Amount]])</f>
        <v>1532.4899999999996</v>
      </c>
      <c r="K119" s="24">
        <f>K118+Table2[[#This Row],[$ Nemjay]]</f>
        <v>-10535.118266666674</v>
      </c>
      <c r="L119" s="24">
        <f>L118+Table2[[#This Row],[$ Anthony]]</f>
        <v>12067.608266666686</v>
      </c>
    </row>
    <row r="120" spans="1:12" x14ac:dyDescent="0.2">
      <c r="A120" s="18">
        <v>46062</v>
      </c>
      <c r="B120" s="30">
        <v>-3.55</v>
      </c>
      <c r="C120" s="20">
        <v>1</v>
      </c>
      <c r="D120" s="20">
        <f t="shared" si="3"/>
        <v>0</v>
      </c>
      <c r="E120" s="26">
        <f t="shared" si="4"/>
        <v>-3.55</v>
      </c>
      <c r="F120" s="26">
        <f t="shared" si="5"/>
        <v>0</v>
      </c>
      <c r="G120" t="s">
        <v>172</v>
      </c>
      <c r="H120" t="s">
        <v>5</v>
      </c>
      <c r="I120" s="22" t="s">
        <v>5</v>
      </c>
      <c r="J120" s="19">
        <f>IF(Table2[[#This Row],[Total Amount]]="","",J119+Table2[[#This Row],[Total Amount]])</f>
        <v>1528.9399999999996</v>
      </c>
      <c r="K120" s="24">
        <f>K119+Table2[[#This Row],[$ Nemjay]]</f>
        <v>-10538.668266666673</v>
      </c>
      <c r="L120" s="24">
        <f>L119+Table2[[#This Row],[$ Anthony]]</f>
        <v>12067.608266666686</v>
      </c>
    </row>
    <row r="121" spans="1:12" x14ac:dyDescent="0.2">
      <c r="A121" s="18">
        <v>46063</v>
      </c>
      <c r="B121" s="30">
        <v>-9.8000000000000007</v>
      </c>
      <c r="C121" s="20">
        <v>0.5</v>
      </c>
      <c r="D121" s="20">
        <f t="shared" si="3"/>
        <v>0.5</v>
      </c>
      <c r="E121" s="26">
        <f t="shared" si="4"/>
        <v>-4.9000000000000004</v>
      </c>
      <c r="F121" s="26">
        <f t="shared" si="5"/>
        <v>-4.9000000000000004</v>
      </c>
      <c r="G121" t="s">
        <v>58</v>
      </c>
      <c r="H121" t="s">
        <v>6</v>
      </c>
      <c r="I121" s="22" t="s">
        <v>6</v>
      </c>
      <c r="J121" s="19">
        <f>IF(Table2[[#This Row],[Total Amount]]="","",J120+Table2[[#This Row],[Total Amount]])</f>
        <v>1519.1399999999996</v>
      </c>
      <c r="K121" s="24">
        <f>K120+Table2[[#This Row],[$ Nemjay]]</f>
        <v>-10543.568266666673</v>
      </c>
      <c r="L121" s="24">
        <f>L120+Table2[[#This Row],[$ Anthony]]</f>
        <v>12062.708266666687</v>
      </c>
    </row>
    <row r="122" spans="1:12" x14ac:dyDescent="0.2">
      <c r="A122" s="18">
        <v>46063</v>
      </c>
      <c r="B122" s="30">
        <v>2459</v>
      </c>
      <c r="C122" s="20">
        <v>0.5</v>
      </c>
      <c r="D122" s="20">
        <f t="shared" si="3"/>
        <v>0.5</v>
      </c>
      <c r="E122" s="26">
        <f t="shared" si="4"/>
        <v>1229.5</v>
      </c>
      <c r="F122" s="26">
        <f t="shared" si="5"/>
        <v>1229.5</v>
      </c>
      <c r="G122" t="s">
        <v>173</v>
      </c>
      <c r="H122" t="s">
        <v>51</v>
      </c>
      <c r="I122" s="22" t="s">
        <v>4</v>
      </c>
      <c r="J122" s="19">
        <f>IF(Table2[[#This Row],[Total Amount]]="","",J121+Table2[[#This Row],[Total Amount]])</f>
        <v>3978.1399999999994</v>
      </c>
      <c r="K122" s="24">
        <f>K121+Table2[[#This Row],[$ Nemjay]]</f>
        <v>-9314.0682666666726</v>
      </c>
      <c r="L122" s="24">
        <f>L121+Table2[[#This Row],[$ Anthony]]</f>
        <v>13292.208266666687</v>
      </c>
    </row>
    <row r="123" spans="1:12" x14ac:dyDescent="0.2">
      <c r="A123" s="18">
        <v>46063</v>
      </c>
      <c r="B123" s="30">
        <v>-3259</v>
      </c>
      <c r="C123" s="20">
        <v>0.5</v>
      </c>
      <c r="D123" s="20">
        <f t="shared" si="3"/>
        <v>0.5</v>
      </c>
      <c r="E123" s="26">
        <f t="shared" si="4"/>
        <v>-1629.5</v>
      </c>
      <c r="F123" s="26">
        <f t="shared" si="5"/>
        <v>-1629.5</v>
      </c>
      <c r="G123" t="s">
        <v>174</v>
      </c>
      <c r="H123" t="s">
        <v>51</v>
      </c>
      <c r="I123" s="22" t="s">
        <v>4</v>
      </c>
      <c r="J123" s="19">
        <f>IF(Table2[[#This Row],[Total Amount]]="","",J122+Table2[[#This Row],[Total Amount]])</f>
        <v>719.13999999999942</v>
      </c>
      <c r="K123" s="24">
        <f>K122+Table2[[#This Row],[$ Nemjay]]</f>
        <v>-10943.568266666673</v>
      </c>
      <c r="L123" s="24">
        <f>L122+Table2[[#This Row],[$ Anthony]]</f>
        <v>11662.708266666687</v>
      </c>
    </row>
    <row r="124" spans="1:12" x14ac:dyDescent="0.2">
      <c r="A124" s="18">
        <v>46063</v>
      </c>
      <c r="B124" s="30">
        <v>-51.46</v>
      </c>
      <c r="C124" s="20">
        <v>0.5</v>
      </c>
      <c r="D124" s="20">
        <f t="shared" si="3"/>
        <v>0.5</v>
      </c>
      <c r="E124" s="26">
        <f t="shared" si="4"/>
        <v>-25.73</v>
      </c>
      <c r="F124" s="26">
        <f t="shared" si="5"/>
        <v>-25.73</v>
      </c>
      <c r="G124" t="s">
        <v>175</v>
      </c>
      <c r="H124" t="s">
        <v>6</v>
      </c>
      <c r="I124" s="22" t="s">
        <v>6</v>
      </c>
      <c r="J124" s="19">
        <f>IF(Table2[[#This Row],[Total Amount]]="","",J123+Table2[[#This Row],[Total Amount]])</f>
        <v>667.67999999999938</v>
      </c>
      <c r="K124" s="24">
        <f>K123+Table2[[#This Row],[$ Nemjay]]</f>
        <v>-10969.298266666672</v>
      </c>
      <c r="L124" s="24">
        <f>L123+Table2[[#This Row],[$ Anthony]]</f>
        <v>11636.978266666687</v>
      </c>
    </row>
    <row r="125" spans="1:12" x14ac:dyDescent="0.2">
      <c r="A125" s="18">
        <v>46063</v>
      </c>
      <c r="B125" s="30">
        <v>-6.5</v>
      </c>
      <c r="C125" s="20">
        <v>0.5</v>
      </c>
      <c r="D125" s="20">
        <f t="shared" si="3"/>
        <v>0.5</v>
      </c>
      <c r="E125" s="26">
        <f t="shared" si="4"/>
        <v>-3.25</v>
      </c>
      <c r="F125" s="26">
        <f t="shared" si="5"/>
        <v>-3.25</v>
      </c>
      <c r="G125" t="s">
        <v>175</v>
      </c>
      <c r="H125" t="s">
        <v>6</v>
      </c>
      <c r="I125" s="22" t="s">
        <v>6</v>
      </c>
      <c r="J125" s="19">
        <f>IF(Table2[[#This Row],[Total Amount]]="","",J124+Table2[[#This Row],[Total Amount]])</f>
        <v>661.17999999999938</v>
      </c>
      <c r="K125" s="24">
        <f>K124+Table2[[#This Row],[$ Nemjay]]</f>
        <v>-10972.548266666672</v>
      </c>
      <c r="L125" s="24">
        <f>L124+Table2[[#This Row],[$ Anthony]]</f>
        <v>11633.728266666687</v>
      </c>
    </row>
    <row r="126" spans="1:12" x14ac:dyDescent="0.2">
      <c r="A126" s="18">
        <v>46063</v>
      </c>
      <c r="B126" s="30">
        <v>-10</v>
      </c>
      <c r="C126" s="20">
        <v>1</v>
      </c>
      <c r="D126" s="20">
        <f t="shared" si="3"/>
        <v>0</v>
      </c>
      <c r="E126" s="26">
        <f t="shared" si="4"/>
        <v>-10</v>
      </c>
      <c r="F126" s="26">
        <f t="shared" si="5"/>
        <v>0</v>
      </c>
      <c r="G126" t="s">
        <v>30</v>
      </c>
      <c r="H126" t="s">
        <v>31</v>
      </c>
      <c r="I126" s="22" t="s">
        <v>10</v>
      </c>
      <c r="J126" s="19">
        <f>IF(Table2[[#This Row],[Total Amount]]="","",J125+Table2[[#This Row],[Total Amount]])</f>
        <v>651.17999999999938</v>
      </c>
      <c r="K126" s="24">
        <f>K125+Table2[[#This Row],[$ Nemjay]]</f>
        <v>-10982.548266666672</v>
      </c>
      <c r="L126" s="24">
        <f>L125+Table2[[#This Row],[$ Anthony]]</f>
        <v>11633.728266666687</v>
      </c>
    </row>
    <row r="127" spans="1:12" x14ac:dyDescent="0.2">
      <c r="A127" s="18">
        <v>46063</v>
      </c>
      <c r="B127" s="30">
        <v>-4.99</v>
      </c>
      <c r="C127" s="20">
        <v>0.5</v>
      </c>
      <c r="D127" s="20">
        <f t="shared" si="3"/>
        <v>0.5</v>
      </c>
      <c r="E127" s="26">
        <f t="shared" si="4"/>
        <v>-2.4950000000000001</v>
      </c>
      <c r="F127" s="26">
        <f t="shared" si="5"/>
        <v>-2.4950000000000001</v>
      </c>
      <c r="G127" t="s">
        <v>176</v>
      </c>
      <c r="H127" t="s">
        <v>177</v>
      </c>
      <c r="I127" s="22" t="s">
        <v>5</v>
      </c>
      <c r="J127" s="19">
        <f>IF(Table2[[#This Row],[Total Amount]]="","",J126+Table2[[#This Row],[Total Amount]])</f>
        <v>646.18999999999937</v>
      </c>
      <c r="K127" s="24">
        <f>K126+Table2[[#This Row],[$ Nemjay]]</f>
        <v>-10985.043266666673</v>
      </c>
      <c r="L127" s="24">
        <f>L126+Table2[[#This Row],[$ Anthony]]</f>
        <v>11631.233266666686</v>
      </c>
    </row>
    <row r="128" spans="1:12" x14ac:dyDescent="0.2">
      <c r="A128" s="18">
        <v>46064</v>
      </c>
      <c r="B128" s="30">
        <v>-22</v>
      </c>
      <c r="C128" s="20">
        <v>0.5</v>
      </c>
      <c r="D128" s="20">
        <f t="shared" si="3"/>
        <v>0.5</v>
      </c>
      <c r="E128" s="26">
        <f t="shared" si="4"/>
        <v>-11</v>
      </c>
      <c r="F128" s="26">
        <f t="shared" si="5"/>
        <v>-11</v>
      </c>
      <c r="G128" t="s">
        <v>178</v>
      </c>
      <c r="H128" t="s">
        <v>179</v>
      </c>
      <c r="I128" s="22" t="s">
        <v>7</v>
      </c>
      <c r="J128" s="19">
        <f>IF(Table2[[#This Row],[Total Amount]]="","",J127+Table2[[#This Row],[Total Amount]])</f>
        <v>624.18999999999937</v>
      </c>
      <c r="K128" s="24">
        <f>K127+Table2[[#This Row],[$ Nemjay]]</f>
        <v>-10996.043266666673</v>
      </c>
      <c r="L128" s="24">
        <f>L127+Table2[[#This Row],[$ Anthony]]</f>
        <v>11620.233266666686</v>
      </c>
    </row>
    <row r="129" spans="1:12" x14ac:dyDescent="0.2">
      <c r="A129" s="18">
        <v>46064</v>
      </c>
      <c r="B129" s="30">
        <v>-10</v>
      </c>
      <c r="C129" s="20">
        <v>1</v>
      </c>
      <c r="D129" s="20">
        <f t="shared" si="3"/>
        <v>0</v>
      </c>
      <c r="E129" s="26">
        <f t="shared" si="4"/>
        <v>-10</v>
      </c>
      <c r="F129" s="26">
        <f t="shared" si="5"/>
        <v>0</v>
      </c>
      <c r="G129" t="s">
        <v>30</v>
      </c>
      <c r="H129" t="s">
        <v>31</v>
      </c>
      <c r="I129" s="22" t="s">
        <v>10</v>
      </c>
      <c r="J129" s="19">
        <f>IF(Table2[[#This Row],[Total Amount]]="","",J128+Table2[[#This Row],[Total Amount]])</f>
        <v>614.18999999999937</v>
      </c>
      <c r="K129" s="24">
        <f>K128+Table2[[#This Row],[$ Nemjay]]</f>
        <v>-11006.043266666673</v>
      </c>
      <c r="L129" s="24">
        <f>L128+Table2[[#This Row],[$ Anthony]]</f>
        <v>11620.233266666686</v>
      </c>
    </row>
    <row r="130" spans="1:12" x14ac:dyDescent="0.2">
      <c r="A130" s="18">
        <v>46065</v>
      </c>
      <c r="B130" s="30">
        <v>-20</v>
      </c>
      <c r="C130" s="20">
        <v>0</v>
      </c>
      <c r="D130" s="20">
        <f t="shared" si="3"/>
        <v>1</v>
      </c>
      <c r="E130" s="26">
        <f t="shared" si="4"/>
        <v>0</v>
      </c>
      <c r="F130" s="26">
        <f t="shared" si="5"/>
        <v>-20</v>
      </c>
      <c r="G130" t="s">
        <v>180</v>
      </c>
      <c r="H130" t="s">
        <v>181</v>
      </c>
      <c r="I130" s="22" t="s">
        <v>8</v>
      </c>
      <c r="J130" s="19">
        <f>IF(Table2[[#This Row],[Total Amount]]="","",J129+Table2[[#This Row],[Total Amount]])</f>
        <v>594.18999999999937</v>
      </c>
      <c r="K130" s="24">
        <f>K129+Table2[[#This Row],[$ Nemjay]]</f>
        <v>-11006.043266666673</v>
      </c>
      <c r="L130" s="24">
        <f>L129+Table2[[#This Row],[$ Anthony]]</f>
        <v>11600.233266666686</v>
      </c>
    </row>
    <row r="131" spans="1:12" x14ac:dyDescent="0.2">
      <c r="A131" s="18">
        <v>46066</v>
      </c>
      <c r="B131" s="30">
        <v>-91.18</v>
      </c>
      <c r="C131" s="20">
        <v>0.5</v>
      </c>
      <c r="D131" s="20">
        <f t="shared" ref="D131:D194" si="6">IF(C131="","",1-C131)</f>
        <v>0.5</v>
      </c>
      <c r="E131" s="26">
        <f t="shared" ref="E131:E194" si="7">C131*B131</f>
        <v>-45.59</v>
      </c>
      <c r="F131" s="26">
        <f t="shared" ref="F131:F194" si="8">D131*B131</f>
        <v>-45.59</v>
      </c>
      <c r="G131" t="s">
        <v>182</v>
      </c>
      <c r="H131" t="s">
        <v>132</v>
      </c>
      <c r="I131" s="22" t="s">
        <v>10</v>
      </c>
      <c r="J131" s="19">
        <f>IF(Table2[[#This Row],[Total Amount]]="","",J130+Table2[[#This Row],[Total Amount]])</f>
        <v>503.00999999999937</v>
      </c>
      <c r="K131" s="24">
        <f>K130+Table2[[#This Row],[$ Nemjay]]</f>
        <v>-11051.633266666673</v>
      </c>
      <c r="L131" s="24">
        <f>L130+Table2[[#This Row],[$ Anthony]]</f>
        <v>11554.643266666686</v>
      </c>
    </row>
    <row r="132" spans="1:12" x14ac:dyDescent="0.2">
      <c r="A132" s="18">
        <v>46067</v>
      </c>
      <c r="B132" s="30">
        <v>-345</v>
      </c>
      <c r="C132" s="20">
        <v>0</v>
      </c>
      <c r="D132" s="20">
        <f t="shared" si="6"/>
        <v>1</v>
      </c>
      <c r="E132" s="26">
        <f t="shared" si="7"/>
        <v>0</v>
      </c>
      <c r="F132" s="26">
        <f t="shared" si="8"/>
        <v>-345</v>
      </c>
      <c r="G132" t="s">
        <v>183</v>
      </c>
      <c r="H132" t="s">
        <v>141</v>
      </c>
      <c r="I132" s="22" t="s">
        <v>7</v>
      </c>
      <c r="J132" s="19">
        <f>IF(Table2[[#This Row],[Total Amount]]="","",J131+Table2[[#This Row],[Total Amount]])</f>
        <v>158.00999999999937</v>
      </c>
      <c r="K132" s="24">
        <f>K131+Table2[[#This Row],[$ Nemjay]]</f>
        <v>-11051.633266666673</v>
      </c>
      <c r="L132" s="24">
        <f>L131+Table2[[#This Row],[$ Anthony]]</f>
        <v>11209.643266666686</v>
      </c>
    </row>
    <row r="133" spans="1:12" x14ac:dyDescent="0.2">
      <c r="A133" s="18">
        <v>46067</v>
      </c>
      <c r="B133" s="30">
        <v>800</v>
      </c>
      <c r="C133" s="20">
        <v>1</v>
      </c>
      <c r="D133" s="20">
        <f t="shared" si="6"/>
        <v>0</v>
      </c>
      <c r="E133" s="26">
        <f t="shared" si="7"/>
        <v>800</v>
      </c>
      <c r="F133" s="26">
        <f t="shared" si="8"/>
        <v>0</v>
      </c>
      <c r="G133" t="s">
        <v>184</v>
      </c>
      <c r="H133" t="s">
        <v>54</v>
      </c>
      <c r="I133" s="22" t="s">
        <v>111</v>
      </c>
      <c r="J133" s="19">
        <f>IF(Table2[[#This Row],[Total Amount]]="","",J132+Table2[[#This Row],[Total Amount]])</f>
        <v>958.00999999999931</v>
      </c>
      <c r="K133" s="24">
        <f>K132+Table2[[#This Row],[$ Nemjay]]</f>
        <v>-10251.633266666673</v>
      </c>
      <c r="L133" s="24">
        <f>L132+Table2[[#This Row],[$ Anthony]]</f>
        <v>11209.643266666686</v>
      </c>
    </row>
    <row r="134" spans="1:12" x14ac:dyDescent="0.2">
      <c r="A134" s="18">
        <v>46067</v>
      </c>
      <c r="B134" s="30">
        <v>-330</v>
      </c>
      <c r="C134" s="20">
        <v>0.5</v>
      </c>
      <c r="D134" s="20">
        <f t="shared" si="6"/>
        <v>0.5</v>
      </c>
      <c r="E134" s="26">
        <f t="shared" si="7"/>
        <v>-165</v>
      </c>
      <c r="F134" s="26">
        <f t="shared" si="8"/>
        <v>-165</v>
      </c>
      <c r="G134" t="s">
        <v>185</v>
      </c>
      <c r="H134" t="s">
        <v>54</v>
      </c>
      <c r="I134" s="22" t="s">
        <v>9</v>
      </c>
      <c r="J134" s="19">
        <f>IF(Table2[[#This Row],[Total Amount]]="","",J133+Table2[[#This Row],[Total Amount]])</f>
        <v>628.00999999999931</v>
      </c>
      <c r="K134" s="24">
        <f>K133+Table2[[#This Row],[$ Nemjay]]</f>
        <v>-10416.633266666673</v>
      </c>
      <c r="L134" s="24">
        <f>L133+Table2[[#This Row],[$ Anthony]]</f>
        <v>11044.643266666686</v>
      </c>
    </row>
    <row r="135" spans="1:12" x14ac:dyDescent="0.2">
      <c r="A135" s="18">
        <v>46069</v>
      </c>
      <c r="B135" s="30">
        <v>-32.47</v>
      </c>
      <c r="C135" s="20">
        <v>0</v>
      </c>
      <c r="D135" s="20">
        <f t="shared" si="6"/>
        <v>1</v>
      </c>
      <c r="E135" s="26">
        <f t="shared" si="7"/>
        <v>0</v>
      </c>
      <c r="F135" s="26">
        <f t="shared" si="8"/>
        <v>-32.47</v>
      </c>
      <c r="G135" t="s">
        <v>98</v>
      </c>
      <c r="H135" t="s">
        <v>186</v>
      </c>
      <c r="I135" s="22" t="s">
        <v>10</v>
      </c>
      <c r="J135" s="19">
        <f>IF(Table2[[#This Row],[Total Amount]]="","",J134+Table2[[#This Row],[Total Amount]])</f>
        <v>595.53999999999928</v>
      </c>
      <c r="K135" s="24">
        <f>K134+Table2[[#This Row],[$ Nemjay]]</f>
        <v>-10416.633266666673</v>
      </c>
      <c r="L135" s="24">
        <f>L134+Table2[[#This Row],[$ Anthony]]</f>
        <v>11012.173266666687</v>
      </c>
    </row>
    <row r="136" spans="1:12" x14ac:dyDescent="0.2">
      <c r="A136" s="18">
        <v>46070</v>
      </c>
      <c r="B136" s="30">
        <v>-10</v>
      </c>
      <c r="C136" s="20">
        <v>1</v>
      </c>
      <c r="D136" s="20">
        <f t="shared" si="6"/>
        <v>0</v>
      </c>
      <c r="E136" s="26">
        <f t="shared" si="7"/>
        <v>-10</v>
      </c>
      <c r="F136" s="26">
        <f t="shared" si="8"/>
        <v>0</v>
      </c>
      <c r="G136" t="s">
        <v>30</v>
      </c>
      <c r="H136" t="s">
        <v>31</v>
      </c>
      <c r="I136" s="22" t="s">
        <v>10</v>
      </c>
      <c r="J136" s="19">
        <f>IF(Table2[[#This Row],[Total Amount]]="","",J135+Table2[[#This Row],[Total Amount]])</f>
        <v>585.53999999999928</v>
      </c>
      <c r="K136" s="24">
        <f>K135+Table2[[#This Row],[$ Nemjay]]</f>
        <v>-10426.633266666673</v>
      </c>
      <c r="L136" s="24">
        <f>L135+Table2[[#This Row],[$ Anthony]]</f>
        <v>11012.173266666687</v>
      </c>
    </row>
    <row r="137" spans="1:12" x14ac:dyDescent="0.2">
      <c r="A137" s="18">
        <v>46070</v>
      </c>
      <c r="B137" s="30">
        <v>-5.7</v>
      </c>
      <c r="C137" s="20">
        <v>1</v>
      </c>
      <c r="D137" s="20">
        <f t="shared" si="6"/>
        <v>0</v>
      </c>
      <c r="E137" s="26">
        <f t="shared" si="7"/>
        <v>-5.7</v>
      </c>
      <c r="F137" s="26">
        <f t="shared" si="8"/>
        <v>0</v>
      </c>
      <c r="G137" t="s">
        <v>102</v>
      </c>
      <c r="H137" t="s">
        <v>91</v>
      </c>
      <c r="I137" s="22" t="s">
        <v>5</v>
      </c>
      <c r="J137" s="19">
        <f>IF(Table2[[#This Row],[Total Amount]]="","",J136+Table2[[#This Row],[Total Amount]])</f>
        <v>579.83999999999924</v>
      </c>
      <c r="K137" s="24">
        <f>K136+Table2[[#This Row],[$ Nemjay]]</f>
        <v>-10432.333266666674</v>
      </c>
      <c r="L137" s="24">
        <f>L136+Table2[[#This Row],[$ Anthony]]</f>
        <v>11012.173266666687</v>
      </c>
    </row>
    <row r="138" spans="1:12" x14ac:dyDescent="0.2">
      <c r="A138" s="18">
        <v>46071</v>
      </c>
      <c r="B138" s="30">
        <v>-10</v>
      </c>
      <c r="C138" s="20">
        <v>1</v>
      </c>
      <c r="D138" s="20">
        <f t="shared" si="6"/>
        <v>0</v>
      </c>
      <c r="E138" s="26">
        <f t="shared" si="7"/>
        <v>-10</v>
      </c>
      <c r="F138" s="26">
        <f t="shared" si="8"/>
        <v>0</v>
      </c>
      <c r="G138" t="s">
        <v>30</v>
      </c>
      <c r="H138" t="s">
        <v>31</v>
      </c>
      <c r="I138" s="22" t="s">
        <v>10</v>
      </c>
      <c r="J138" s="19">
        <f>IF(Table2[[#This Row],[Total Amount]]="","",J137+Table2[[#This Row],[Total Amount]])</f>
        <v>569.83999999999924</v>
      </c>
      <c r="K138" s="24">
        <f>K137+Table2[[#This Row],[$ Nemjay]]</f>
        <v>-10442.333266666674</v>
      </c>
      <c r="L138" s="24">
        <f>L137+Table2[[#This Row],[$ Anthony]]</f>
        <v>11012.173266666687</v>
      </c>
    </row>
    <row r="139" spans="1:12" x14ac:dyDescent="0.2">
      <c r="A139" s="18">
        <v>46071</v>
      </c>
      <c r="B139" s="30">
        <v>-1.74</v>
      </c>
      <c r="C139" s="20">
        <v>0.5</v>
      </c>
      <c r="D139" s="20">
        <f t="shared" si="6"/>
        <v>0.5</v>
      </c>
      <c r="E139" s="26">
        <f t="shared" si="7"/>
        <v>-0.87</v>
      </c>
      <c r="F139" s="26">
        <f t="shared" si="8"/>
        <v>-0.87</v>
      </c>
      <c r="G139" t="s">
        <v>187</v>
      </c>
      <c r="H139" t="s">
        <v>6</v>
      </c>
      <c r="I139" s="22" t="s">
        <v>6</v>
      </c>
      <c r="J139" s="19">
        <f>IF(Table2[[#This Row],[Total Amount]]="","",J138+Table2[[#This Row],[Total Amount]])</f>
        <v>568.09999999999923</v>
      </c>
      <c r="K139" s="24">
        <f>K138+Table2[[#This Row],[$ Nemjay]]</f>
        <v>-10443.203266666675</v>
      </c>
      <c r="L139" s="24">
        <f>L138+Table2[[#This Row],[$ Anthony]]</f>
        <v>11011.303266666686</v>
      </c>
    </row>
    <row r="140" spans="1:12" x14ac:dyDescent="0.2">
      <c r="A140" s="18">
        <v>46071</v>
      </c>
      <c r="B140" s="30">
        <v>-18</v>
      </c>
      <c r="C140" s="20">
        <v>0.5</v>
      </c>
      <c r="D140" s="20">
        <f t="shared" si="6"/>
        <v>0.5</v>
      </c>
      <c r="E140" s="26">
        <f t="shared" si="7"/>
        <v>-9</v>
      </c>
      <c r="F140" s="26">
        <f t="shared" si="8"/>
        <v>-9</v>
      </c>
      <c r="G140" t="s">
        <v>188</v>
      </c>
      <c r="H140" t="s">
        <v>6</v>
      </c>
      <c r="I140" s="22" t="s">
        <v>6</v>
      </c>
      <c r="J140" s="19">
        <f>IF(Table2[[#This Row],[Total Amount]]="","",J139+Table2[[#This Row],[Total Amount]])</f>
        <v>550.09999999999923</v>
      </c>
      <c r="K140" s="24">
        <f>K139+Table2[[#This Row],[$ Nemjay]]</f>
        <v>-10452.203266666675</v>
      </c>
      <c r="L140" s="24">
        <f>L139+Table2[[#This Row],[$ Anthony]]</f>
        <v>11002.303266666686</v>
      </c>
    </row>
    <row r="141" spans="1:12" x14ac:dyDescent="0.2">
      <c r="A141" s="18">
        <v>46072</v>
      </c>
      <c r="B141" s="30">
        <v>-10</v>
      </c>
      <c r="C141" s="20">
        <v>1</v>
      </c>
      <c r="D141" s="20">
        <f t="shared" si="6"/>
        <v>0</v>
      </c>
      <c r="E141" s="26">
        <f t="shared" si="7"/>
        <v>-10</v>
      </c>
      <c r="F141" s="26">
        <f t="shared" si="8"/>
        <v>0</v>
      </c>
      <c r="G141" t="s">
        <v>30</v>
      </c>
      <c r="H141" t="s">
        <v>31</v>
      </c>
      <c r="I141" s="22" t="s">
        <v>10</v>
      </c>
      <c r="J141" s="19">
        <f>IF(Table2[[#This Row],[Total Amount]]="","",J140+Table2[[#This Row],[Total Amount]])</f>
        <v>540.09999999999923</v>
      </c>
      <c r="K141" s="24">
        <f>K140+Table2[[#This Row],[$ Nemjay]]</f>
        <v>-10462.203266666675</v>
      </c>
      <c r="L141" s="24">
        <f>L140+Table2[[#This Row],[$ Anthony]]</f>
        <v>11002.303266666686</v>
      </c>
    </row>
    <row r="142" spans="1:12" x14ac:dyDescent="0.2">
      <c r="A142" s="18">
        <v>46072</v>
      </c>
      <c r="B142" s="30">
        <v>-10</v>
      </c>
      <c r="C142" s="20">
        <v>1</v>
      </c>
      <c r="D142" s="20">
        <f t="shared" si="6"/>
        <v>0</v>
      </c>
      <c r="E142" s="26">
        <f t="shared" si="7"/>
        <v>-10</v>
      </c>
      <c r="F142" s="26">
        <f t="shared" si="8"/>
        <v>0</v>
      </c>
      <c r="G142" t="s">
        <v>30</v>
      </c>
      <c r="H142" t="s">
        <v>31</v>
      </c>
      <c r="I142" s="22" t="s">
        <v>10</v>
      </c>
      <c r="J142" s="19">
        <f>IF(Table2[[#This Row],[Total Amount]]="","",J141+Table2[[#This Row],[Total Amount]])</f>
        <v>530.09999999999923</v>
      </c>
      <c r="K142" s="24">
        <f>K141+Table2[[#This Row],[$ Nemjay]]</f>
        <v>-10472.203266666675</v>
      </c>
      <c r="L142" s="24">
        <f>L141+Table2[[#This Row],[$ Anthony]]</f>
        <v>11002.303266666686</v>
      </c>
    </row>
    <row r="143" spans="1:12" x14ac:dyDescent="0.2">
      <c r="A143" s="18">
        <v>46073</v>
      </c>
      <c r="B143" s="30">
        <v>-30.5</v>
      </c>
      <c r="C143" s="20">
        <v>0</v>
      </c>
      <c r="D143" s="20">
        <f t="shared" si="6"/>
        <v>1</v>
      </c>
      <c r="E143" s="26">
        <f t="shared" si="7"/>
        <v>0</v>
      </c>
      <c r="F143" s="26">
        <f t="shared" si="8"/>
        <v>-30.5</v>
      </c>
      <c r="G143" t="s">
        <v>189</v>
      </c>
      <c r="H143" t="s">
        <v>190</v>
      </c>
      <c r="I143" s="22" t="s">
        <v>5</v>
      </c>
      <c r="J143" s="19">
        <f>IF(Table2[[#This Row],[Total Amount]]="","",J142+Table2[[#This Row],[Total Amount]])</f>
        <v>499.59999999999923</v>
      </c>
      <c r="K143" s="24">
        <f>K142+Table2[[#This Row],[$ Nemjay]]</f>
        <v>-10472.203266666675</v>
      </c>
      <c r="L143" s="24">
        <f>L142+Table2[[#This Row],[$ Anthony]]</f>
        <v>10971.803266666686</v>
      </c>
    </row>
    <row r="144" spans="1:12" x14ac:dyDescent="0.2">
      <c r="A144" s="18">
        <v>46073</v>
      </c>
      <c r="B144" s="30">
        <v>-10</v>
      </c>
      <c r="C144" s="20">
        <v>1</v>
      </c>
      <c r="D144" s="20">
        <f t="shared" si="6"/>
        <v>0</v>
      </c>
      <c r="E144" s="26">
        <f t="shared" si="7"/>
        <v>-10</v>
      </c>
      <c r="F144" s="26">
        <f t="shared" si="8"/>
        <v>0</v>
      </c>
      <c r="G144" t="s">
        <v>191</v>
      </c>
      <c r="H144" t="s">
        <v>5</v>
      </c>
      <c r="I144" s="22" t="s">
        <v>5</v>
      </c>
      <c r="J144" s="19">
        <f>IF(Table2[[#This Row],[Total Amount]]="","",J143+Table2[[#This Row],[Total Amount]])</f>
        <v>489.59999999999923</v>
      </c>
      <c r="K144" s="24">
        <f>K143+Table2[[#This Row],[$ Nemjay]]</f>
        <v>-10482.203266666675</v>
      </c>
      <c r="L144" s="24">
        <f>L143+Table2[[#This Row],[$ Anthony]]</f>
        <v>10971.803266666686</v>
      </c>
    </row>
    <row r="145" spans="1:12" x14ac:dyDescent="0.2">
      <c r="A145" s="18">
        <v>46074</v>
      </c>
      <c r="B145" s="30">
        <v>-16</v>
      </c>
      <c r="C145" s="20">
        <v>1</v>
      </c>
      <c r="D145" s="20">
        <f t="shared" si="6"/>
        <v>0</v>
      </c>
      <c r="E145" s="26">
        <f t="shared" si="7"/>
        <v>-16</v>
      </c>
      <c r="F145" s="26">
        <f t="shared" si="8"/>
        <v>0</v>
      </c>
      <c r="G145" t="s">
        <v>192</v>
      </c>
      <c r="H145" t="s">
        <v>91</v>
      </c>
      <c r="I145" s="22" t="s">
        <v>5</v>
      </c>
      <c r="J145" s="19">
        <f>IF(Table2[[#This Row],[Total Amount]]="","",J144+Table2[[#This Row],[Total Amount]])</f>
        <v>473.59999999999923</v>
      </c>
      <c r="K145" s="24">
        <f>K144+Table2[[#This Row],[$ Nemjay]]</f>
        <v>-10498.203266666675</v>
      </c>
      <c r="L145" s="24">
        <f>L144+Table2[[#This Row],[$ Anthony]]</f>
        <v>10971.803266666686</v>
      </c>
    </row>
    <row r="146" spans="1:12" x14ac:dyDescent="0.2">
      <c r="A146" s="18">
        <v>46074</v>
      </c>
      <c r="B146" s="30">
        <v>-10</v>
      </c>
      <c r="C146" s="20">
        <v>1</v>
      </c>
      <c r="D146" s="20">
        <f t="shared" si="6"/>
        <v>0</v>
      </c>
      <c r="E146" s="26">
        <f t="shared" si="7"/>
        <v>-10</v>
      </c>
      <c r="F146" s="26">
        <f t="shared" si="8"/>
        <v>0</v>
      </c>
      <c r="G146" t="s">
        <v>30</v>
      </c>
      <c r="H146" t="s">
        <v>31</v>
      </c>
      <c r="I146" s="22" t="s">
        <v>10</v>
      </c>
      <c r="J146" s="19">
        <f>IF(Table2[[#This Row],[Total Amount]]="","",J145+Table2[[#This Row],[Total Amount]])</f>
        <v>463.59999999999923</v>
      </c>
      <c r="K146" s="24">
        <f>K145+Table2[[#This Row],[$ Nemjay]]</f>
        <v>-10508.203266666675</v>
      </c>
      <c r="L146" s="24">
        <f>L145+Table2[[#This Row],[$ Anthony]]</f>
        <v>10971.803266666686</v>
      </c>
    </row>
    <row r="147" spans="1:12" x14ac:dyDescent="0.2">
      <c r="A147" s="18">
        <v>46074</v>
      </c>
      <c r="B147" s="30">
        <v>-10</v>
      </c>
      <c r="C147" s="20">
        <v>1</v>
      </c>
      <c r="D147" s="20">
        <f t="shared" si="6"/>
        <v>0</v>
      </c>
      <c r="E147" s="26">
        <f t="shared" si="7"/>
        <v>-10</v>
      </c>
      <c r="F147" s="26">
        <f t="shared" si="8"/>
        <v>0</v>
      </c>
      <c r="G147" t="s">
        <v>30</v>
      </c>
      <c r="H147" t="s">
        <v>31</v>
      </c>
      <c r="I147" s="22" t="s">
        <v>10</v>
      </c>
      <c r="J147" s="19">
        <f>IF(Table2[[#This Row],[Total Amount]]="","",J146+Table2[[#This Row],[Total Amount]])</f>
        <v>453.59999999999923</v>
      </c>
      <c r="K147" s="24">
        <f>K146+Table2[[#This Row],[$ Nemjay]]</f>
        <v>-10518.203266666675</v>
      </c>
      <c r="L147" s="24">
        <f>L146+Table2[[#This Row],[$ Anthony]]</f>
        <v>10971.803266666686</v>
      </c>
    </row>
    <row r="148" spans="1:12" x14ac:dyDescent="0.2">
      <c r="A148" s="18">
        <v>46074</v>
      </c>
      <c r="B148" s="30">
        <v>-8.5299999999999994</v>
      </c>
      <c r="C148" s="20">
        <v>1</v>
      </c>
      <c r="D148" s="20">
        <f t="shared" si="6"/>
        <v>0</v>
      </c>
      <c r="E148" s="26">
        <f t="shared" si="7"/>
        <v>-8.5299999999999994</v>
      </c>
      <c r="F148" s="26">
        <f t="shared" si="8"/>
        <v>0</v>
      </c>
      <c r="G148" t="s">
        <v>193</v>
      </c>
      <c r="H148" t="s">
        <v>194</v>
      </c>
      <c r="I148" s="22" t="s">
        <v>5</v>
      </c>
      <c r="J148" s="19">
        <f>IF(Table2[[#This Row],[Total Amount]]="","",J147+Table2[[#This Row],[Total Amount]])</f>
        <v>445.06999999999925</v>
      </c>
      <c r="K148" s="24">
        <f>K147+Table2[[#This Row],[$ Nemjay]]</f>
        <v>-10526.733266666675</v>
      </c>
      <c r="L148" s="24">
        <f>L147+Table2[[#This Row],[$ Anthony]]</f>
        <v>10971.803266666686</v>
      </c>
    </row>
    <row r="149" spans="1:12" x14ac:dyDescent="0.2">
      <c r="A149" s="18">
        <v>46074</v>
      </c>
      <c r="B149" s="30">
        <v>-8</v>
      </c>
      <c r="C149" s="20">
        <v>1</v>
      </c>
      <c r="D149" s="20">
        <f t="shared" si="6"/>
        <v>0</v>
      </c>
      <c r="E149" s="26">
        <f t="shared" si="7"/>
        <v>-8</v>
      </c>
      <c r="F149" s="26">
        <f t="shared" si="8"/>
        <v>0</v>
      </c>
      <c r="G149" t="s">
        <v>195</v>
      </c>
      <c r="H149" t="s">
        <v>5</v>
      </c>
      <c r="I149" s="22" t="s">
        <v>5</v>
      </c>
      <c r="J149" s="19">
        <f>IF(Table2[[#This Row],[Total Amount]]="","",J148+Table2[[#This Row],[Total Amount]])</f>
        <v>437.06999999999925</v>
      </c>
      <c r="K149" s="24">
        <f>K148+Table2[[#This Row],[$ Nemjay]]</f>
        <v>-10534.733266666675</v>
      </c>
      <c r="L149" s="24">
        <f>L148+Table2[[#This Row],[$ Anthony]]</f>
        <v>10971.803266666686</v>
      </c>
    </row>
    <row r="150" spans="1:12" x14ac:dyDescent="0.2">
      <c r="A150" s="18">
        <v>46075</v>
      </c>
      <c r="B150" s="30">
        <v>-49.2</v>
      </c>
      <c r="C150" s="20">
        <v>0.5</v>
      </c>
      <c r="D150" s="20">
        <f t="shared" si="6"/>
        <v>0.5</v>
      </c>
      <c r="E150" s="26">
        <f t="shared" si="7"/>
        <v>-24.6</v>
      </c>
      <c r="F150" s="26">
        <f t="shared" si="8"/>
        <v>-24.6</v>
      </c>
      <c r="G150" t="s">
        <v>196</v>
      </c>
      <c r="H150" t="s">
        <v>197</v>
      </c>
      <c r="I150" s="22" t="s">
        <v>5</v>
      </c>
      <c r="J150" s="19">
        <f>IF(Table2[[#This Row],[Total Amount]]="","",J149+Table2[[#This Row],[Total Amount]])</f>
        <v>387.86999999999927</v>
      </c>
      <c r="K150" s="24">
        <f>K149+Table2[[#This Row],[$ Nemjay]]</f>
        <v>-10559.333266666676</v>
      </c>
      <c r="L150" s="24">
        <f>L149+Table2[[#This Row],[$ Anthony]]</f>
        <v>10947.203266666686</v>
      </c>
    </row>
    <row r="151" spans="1:12" x14ac:dyDescent="0.2">
      <c r="A151" s="18">
        <v>46076</v>
      </c>
      <c r="B151" s="30">
        <v>-38.71</v>
      </c>
      <c r="C151" s="20">
        <v>0.5</v>
      </c>
      <c r="D151" s="20">
        <f t="shared" si="6"/>
        <v>0.5</v>
      </c>
      <c r="E151" s="26">
        <f t="shared" si="7"/>
        <v>-19.355</v>
      </c>
      <c r="F151" s="26">
        <f t="shared" si="8"/>
        <v>-19.355</v>
      </c>
      <c r="G151" t="s">
        <v>198</v>
      </c>
      <c r="H151" t="s">
        <v>6</v>
      </c>
      <c r="I151" s="22" t="s">
        <v>6</v>
      </c>
      <c r="J151" s="19">
        <f>IF(Table2[[#This Row],[Total Amount]]="","",J150+Table2[[#This Row],[Total Amount]])</f>
        <v>349.15999999999929</v>
      </c>
      <c r="K151" s="24">
        <f>K150+Table2[[#This Row],[$ Nemjay]]</f>
        <v>-10578.688266666675</v>
      </c>
      <c r="L151" s="24">
        <f>L150+Table2[[#This Row],[$ Anthony]]</f>
        <v>10927.848266666686</v>
      </c>
    </row>
    <row r="152" spans="1:12" x14ac:dyDescent="0.2">
      <c r="A152" s="18">
        <v>46076</v>
      </c>
      <c r="B152" s="30">
        <v>-14.9</v>
      </c>
      <c r="C152" s="20">
        <v>1</v>
      </c>
      <c r="D152" s="20">
        <f t="shared" si="6"/>
        <v>0</v>
      </c>
      <c r="E152" s="26">
        <f t="shared" si="7"/>
        <v>-14.9</v>
      </c>
      <c r="F152" s="26">
        <f t="shared" si="8"/>
        <v>0</v>
      </c>
      <c r="G152" t="s">
        <v>199</v>
      </c>
      <c r="H152" t="s">
        <v>144</v>
      </c>
      <c r="I152" s="22" t="s">
        <v>5</v>
      </c>
      <c r="J152" s="19">
        <f>IF(Table2[[#This Row],[Total Amount]]="","",J151+Table2[[#This Row],[Total Amount]])</f>
        <v>334.25999999999931</v>
      </c>
      <c r="K152" s="24">
        <f>K151+Table2[[#This Row],[$ Nemjay]]</f>
        <v>-10593.588266666675</v>
      </c>
      <c r="L152" s="24">
        <f>L151+Table2[[#This Row],[$ Anthony]]</f>
        <v>10927.848266666686</v>
      </c>
    </row>
    <row r="153" spans="1:12" x14ac:dyDescent="0.2">
      <c r="A153" s="18">
        <v>46076</v>
      </c>
      <c r="B153" s="30">
        <v>-10</v>
      </c>
      <c r="C153" s="20">
        <v>1</v>
      </c>
      <c r="D153" s="20">
        <f t="shared" si="6"/>
        <v>0</v>
      </c>
      <c r="E153" s="26">
        <f t="shared" si="7"/>
        <v>-10</v>
      </c>
      <c r="F153" s="26">
        <f t="shared" si="8"/>
        <v>0</v>
      </c>
      <c r="G153" t="s">
        <v>30</v>
      </c>
      <c r="H153" t="s">
        <v>31</v>
      </c>
      <c r="I153" s="22" t="s">
        <v>10</v>
      </c>
      <c r="J153" s="19">
        <f>IF(Table2[[#This Row],[Total Amount]]="","",J152+Table2[[#This Row],[Total Amount]])</f>
        <v>324.25999999999931</v>
      </c>
      <c r="K153" s="24">
        <f>K152+Table2[[#This Row],[$ Nemjay]]</f>
        <v>-10603.588266666675</v>
      </c>
      <c r="L153" s="24">
        <f>L152+Table2[[#This Row],[$ Anthony]]</f>
        <v>10927.848266666686</v>
      </c>
    </row>
    <row r="154" spans="1:12" x14ac:dyDescent="0.2">
      <c r="A154" s="18">
        <v>46076</v>
      </c>
      <c r="B154" s="30">
        <v>-4.8</v>
      </c>
      <c r="C154" s="20">
        <v>0.5</v>
      </c>
      <c r="D154" s="20">
        <f t="shared" si="6"/>
        <v>0.5</v>
      </c>
      <c r="E154" s="26">
        <f t="shared" si="7"/>
        <v>-2.4</v>
      </c>
      <c r="F154" s="26">
        <f t="shared" si="8"/>
        <v>-2.4</v>
      </c>
      <c r="G154" t="s">
        <v>200</v>
      </c>
      <c r="H154" t="s">
        <v>6</v>
      </c>
      <c r="I154" s="22" t="s">
        <v>6</v>
      </c>
      <c r="J154" s="19">
        <f>IF(Table2[[#This Row],[Total Amount]]="","",J153+Table2[[#This Row],[Total Amount]])</f>
        <v>319.4599999999993</v>
      </c>
      <c r="K154" s="24">
        <f>K153+Table2[[#This Row],[$ Nemjay]]</f>
        <v>-10605.988266666674</v>
      </c>
      <c r="L154" s="24">
        <f>L153+Table2[[#This Row],[$ Anthony]]</f>
        <v>10925.448266666686</v>
      </c>
    </row>
    <row r="155" spans="1:12" x14ac:dyDescent="0.2">
      <c r="A155" s="18">
        <v>46077</v>
      </c>
      <c r="B155" s="30">
        <v>-9.9499999999999993</v>
      </c>
      <c r="C155" s="20">
        <v>1</v>
      </c>
      <c r="D155" s="20">
        <f t="shared" si="6"/>
        <v>0</v>
      </c>
      <c r="E155" s="26">
        <f t="shared" si="7"/>
        <v>-9.9499999999999993</v>
      </c>
      <c r="F155" s="26">
        <f t="shared" si="8"/>
        <v>0</v>
      </c>
      <c r="G155" t="s">
        <v>199</v>
      </c>
      <c r="H155" t="s">
        <v>144</v>
      </c>
      <c r="I155" s="22" t="s">
        <v>5</v>
      </c>
      <c r="J155" s="19">
        <f>IF(Table2[[#This Row],[Total Amount]]="","",J154+Table2[[#This Row],[Total Amount]])</f>
        <v>309.50999999999931</v>
      </c>
      <c r="K155" s="24">
        <f>K154+Table2[[#This Row],[$ Nemjay]]</f>
        <v>-10615.938266666675</v>
      </c>
      <c r="L155" s="24">
        <f>L154+Table2[[#This Row],[$ Anthony]]</f>
        <v>10925.448266666686</v>
      </c>
    </row>
    <row r="156" spans="1:12" x14ac:dyDescent="0.2">
      <c r="A156" s="18">
        <v>46078</v>
      </c>
      <c r="B156" s="30">
        <v>-9.9499999999999993</v>
      </c>
      <c r="C156" s="20">
        <v>1</v>
      </c>
      <c r="D156" s="20">
        <f t="shared" si="6"/>
        <v>0</v>
      </c>
      <c r="E156" s="26">
        <f t="shared" si="7"/>
        <v>-9.9499999999999993</v>
      </c>
      <c r="F156" s="26">
        <f t="shared" si="8"/>
        <v>0</v>
      </c>
      <c r="G156" t="s">
        <v>199</v>
      </c>
      <c r="H156" t="s">
        <v>144</v>
      </c>
      <c r="I156" s="22" t="s">
        <v>5</v>
      </c>
      <c r="J156" s="19">
        <f>IF(Table2[[#This Row],[Total Amount]]="","",J155+Table2[[#This Row],[Total Amount]])</f>
        <v>299.55999999999932</v>
      </c>
      <c r="K156" s="24">
        <f>K155+Table2[[#This Row],[$ Nemjay]]</f>
        <v>-10625.888266666676</v>
      </c>
      <c r="L156" s="24">
        <f>L155+Table2[[#This Row],[$ Anthony]]</f>
        <v>10925.448266666686</v>
      </c>
    </row>
    <row r="157" spans="1:12" x14ac:dyDescent="0.2">
      <c r="A157" s="18">
        <v>46078</v>
      </c>
      <c r="B157" s="30">
        <v>-10</v>
      </c>
      <c r="C157" s="20">
        <v>1</v>
      </c>
      <c r="D157" s="20">
        <f t="shared" si="6"/>
        <v>0</v>
      </c>
      <c r="E157" s="26">
        <f t="shared" si="7"/>
        <v>-10</v>
      </c>
      <c r="F157" s="26">
        <f t="shared" si="8"/>
        <v>0</v>
      </c>
      <c r="G157" t="s">
        <v>208</v>
      </c>
      <c r="I157" s="22" t="s">
        <v>10</v>
      </c>
      <c r="J157" s="19">
        <f>IF(Table2[[#This Row],[Total Amount]]="","",J156+Table2[[#This Row],[Total Amount]])</f>
        <v>289.55999999999932</v>
      </c>
      <c r="K157" s="24">
        <f>K156+Table2[[#This Row],[$ Nemjay]]</f>
        <v>-10635.888266666676</v>
      </c>
      <c r="L157" s="24">
        <f>L156+Table2[[#This Row],[$ Anthony]]</f>
        <v>10925.448266666686</v>
      </c>
    </row>
    <row r="158" spans="1:12" x14ac:dyDescent="0.2">
      <c r="A158" s="18">
        <v>46078</v>
      </c>
      <c r="B158" s="30">
        <v>-10</v>
      </c>
      <c r="C158" s="20">
        <v>1</v>
      </c>
      <c r="D158" s="20">
        <f t="shared" si="6"/>
        <v>0</v>
      </c>
      <c r="E158" s="26">
        <f t="shared" si="7"/>
        <v>-10</v>
      </c>
      <c r="F158" s="26">
        <f t="shared" si="8"/>
        <v>0</v>
      </c>
      <c r="G158" t="s">
        <v>208</v>
      </c>
      <c r="I158" s="22" t="s">
        <v>10</v>
      </c>
      <c r="J158" s="19">
        <f>IF(Table2[[#This Row],[Total Amount]]="","",J157+Table2[[#This Row],[Total Amount]])</f>
        <v>279.55999999999932</v>
      </c>
      <c r="K158" s="24">
        <f>K157+Table2[[#This Row],[$ Nemjay]]</f>
        <v>-10645.888266666676</v>
      </c>
      <c r="L158" s="24">
        <f>L157+Table2[[#This Row],[$ Anthony]]</f>
        <v>10925.448266666686</v>
      </c>
    </row>
    <row r="159" spans="1:12" x14ac:dyDescent="0.2">
      <c r="A159" s="18">
        <v>46079</v>
      </c>
      <c r="B159" s="30">
        <v>-8.1999999999999993</v>
      </c>
      <c r="C159" s="20">
        <v>1</v>
      </c>
      <c r="D159" s="20">
        <f t="shared" si="6"/>
        <v>0</v>
      </c>
      <c r="E159" s="26">
        <f t="shared" si="7"/>
        <v>-8.1999999999999993</v>
      </c>
      <c r="F159" s="26">
        <f t="shared" si="8"/>
        <v>0</v>
      </c>
      <c r="G159" t="s">
        <v>201</v>
      </c>
      <c r="H159" t="s">
        <v>202</v>
      </c>
      <c r="I159" s="22" t="s">
        <v>5</v>
      </c>
      <c r="J159" s="19">
        <f>IF(Table2[[#This Row],[Total Amount]]="","",J158+Table2[[#This Row],[Total Amount]])</f>
        <v>271.35999999999933</v>
      </c>
      <c r="K159" s="24">
        <f>K158+Table2[[#This Row],[$ Nemjay]]</f>
        <v>-10654.088266666677</v>
      </c>
      <c r="L159" s="24">
        <f>L158+Table2[[#This Row],[$ Anthony]]</f>
        <v>10925.448266666686</v>
      </c>
    </row>
    <row r="160" spans="1:12" x14ac:dyDescent="0.2">
      <c r="A160" s="18">
        <v>46079</v>
      </c>
      <c r="B160" s="30">
        <v>1000</v>
      </c>
      <c r="C160" s="20">
        <v>0</v>
      </c>
      <c r="D160" s="20">
        <f t="shared" si="6"/>
        <v>1</v>
      </c>
      <c r="E160" s="26">
        <f t="shared" si="7"/>
        <v>0</v>
      </c>
      <c r="F160" s="26">
        <f t="shared" si="8"/>
        <v>1000</v>
      </c>
      <c r="G160" t="s">
        <v>203</v>
      </c>
      <c r="H160" t="s">
        <v>54</v>
      </c>
      <c r="I160" s="22" t="s">
        <v>111</v>
      </c>
      <c r="J160" s="19">
        <f>IF(Table2[[#This Row],[Total Amount]]="","",J159+Table2[[#This Row],[Total Amount]])</f>
        <v>1271.3599999999992</v>
      </c>
      <c r="K160" s="24">
        <f>K159+Table2[[#This Row],[$ Nemjay]]</f>
        <v>-10654.088266666677</v>
      </c>
      <c r="L160" s="24">
        <f>L159+Table2[[#This Row],[$ Anthony]]</f>
        <v>11925.448266666686</v>
      </c>
    </row>
    <row r="161" spans="1:12" x14ac:dyDescent="0.2">
      <c r="A161" s="18">
        <v>46079</v>
      </c>
      <c r="B161" s="30">
        <v>400</v>
      </c>
      <c r="C161" s="20">
        <v>1</v>
      </c>
      <c r="D161" s="20">
        <f t="shared" si="6"/>
        <v>0</v>
      </c>
      <c r="E161" s="26">
        <f t="shared" si="7"/>
        <v>400</v>
      </c>
      <c r="F161" s="26">
        <f t="shared" si="8"/>
        <v>0</v>
      </c>
      <c r="G161" t="s">
        <v>184</v>
      </c>
      <c r="H161" t="s">
        <v>54</v>
      </c>
      <c r="I161" s="22" t="s">
        <v>111</v>
      </c>
      <c r="J161" s="19">
        <f>IF(Table2[[#This Row],[Total Amount]]="","",J160+Table2[[#This Row],[Total Amount]])</f>
        <v>1671.3599999999992</v>
      </c>
      <c r="K161" s="24">
        <f>K160+Table2[[#This Row],[$ Nemjay]]</f>
        <v>-10254.088266666677</v>
      </c>
      <c r="L161" s="24">
        <f>L160+Table2[[#This Row],[$ Anthony]]</f>
        <v>11925.448266666686</v>
      </c>
    </row>
    <row r="162" spans="1:12" x14ac:dyDescent="0.2">
      <c r="A162" s="18">
        <v>46079</v>
      </c>
      <c r="B162" s="19">
        <v>1000</v>
      </c>
      <c r="C162" s="20">
        <v>0.5</v>
      </c>
      <c r="D162" s="20">
        <f t="shared" si="6"/>
        <v>0.5</v>
      </c>
      <c r="E162" s="26">
        <f t="shared" si="7"/>
        <v>500</v>
      </c>
      <c r="F162" s="26">
        <f t="shared" si="8"/>
        <v>500</v>
      </c>
      <c r="G162" t="s">
        <v>204</v>
      </c>
      <c r="H162" t="s">
        <v>54</v>
      </c>
      <c r="I162" s="22" t="s">
        <v>54</v>
      </c>
      <c r="J162" s="19">
        <f>IF(Table2[[#This Row],[Total Amount]]="","",J161+Table2[[#This Row],[Total Amount]])</f>
        <v>2671.3599999999992</v>
      </c>
      <c r="K162" s="24">
        <f>K161+Table2[[#This Row],[$ Nemjay]]</f>
        <v>-9754.0882666666766</v>
      </c>
      <c r="L162" s="24">
        <f>L161+Table2[[#This Row],[$ Anthony]]</f>
        <v>12425.448266666686</v>
      </c>
    </row>
    <row r="163" spans="1:12" x14ac:dyDescent="0.2">
      <c r="A163" s="18">
        <v>46079</v>
      </c>
      <c r="B163" s="19">
        <v>-1886.46</v>
      </c>
      <c r="C163" s="20">
        <v>1</v>
      </c>
      <c r="D163" s="20">
        <f t="shared" si="6"/>
        <v>0</v>
      </c>
      <c r="E163" s="26">
        <f t="shared" si="7"/>
        <v>-1886.46</v>
      </c>
      <c r="F163" s="26">
        <f t="shared" si="8"/>
        <v>0</v>
      </c>
      <c r="G163" t="s">
        <v>205</v>
      </c>
      <c r="H163" t="s">
        <v>206</v>
      </c>
      <c r="I163" s="22" t="s">
        <v>8</v>
      </c>
      <c r="J163" s="19">
        <f>IF(Table2[[#This Row],[Total Amount]]="","",J162+Table2[[#This Row],[Total Amount]])</f>
        <v>784.89999999999918</v>
      </c>
      <c r="K163" s="24">
        <f>K162+Table2[[#This Row],[$ Nemjay]]</f>
        <v>-11640.548266666676</v>
      </c>
      <c r="L163" s="24">
        <f>L162+Table2[[#This Row],[$ Anthony]]</f>
        <v>12425.448266666686</v>
      </c>
    </row>
    <row r="164" spans="1:12" x14ac:dyDescent="0.2">
      <c r="A164" s="18">
        <v>46080</v>
      </c>
      <c r="B164" s="19">
        <v>-10</v>
      </c>
      <c r="C164" s="20">
        <v>1</v>
      </c>
      <c r="D164" s="20">
        <f t="shared" si="6"/>
        <v>0</v>
      </c>
      <c r="E164" s="26">
        <f t="shared" si="7"/>
        <v>-10</v>
      </c>
      <c r="F164" s="26">
        <f t="shared" si="8"/>
        <v>0</v>
      </c>
      <c r="G164" t="s">
        <v>208</v>
      </c>
      <c r="I164" s="22" t="s">
        <v>10</v>
      </c>
      <c r="J164" s="19">
        <f>IF(Table2[[#This Row],[Total Amount]]="","",J163+Table2[[#This Row],[Total Amount]])</f>
        <v>774.89999999999918</v>
      </c>
      <c r="K164" s="24">
        <f>K163+Table2[[#This Row],[$ Nemjay]]</f>
        <v>-11650.548266666676</v>
      </c>
      <c r="L164" s="24">
        <f>L163+Table2[[#This Row],[$ Anthony]]</f>
        <v>12425.448266666686</v>
      </c>
    </row>
    <row r="165" spans="1:12" x14ac:dyDescent="0.2">
      <c r="A165" s="18">
        <v>46080</v>
      </c>
      <c r="B165" s="19">
        <v>-10</v>
      </c>
      <c r="C165" s="20">
        <v>1</v>
      </c>
      <c r="D165" s="20">
        <f t="shared" si="6"/>
        <v>0</v>
      </c>
      <c r="E165" s="26">
        <f t="shared" si="7"/>
        <v>-10</v>
      </c>
      <c r="F165" s="26">
        <f t="shared" si="8"/>
        <v>0</v>
      </c>
      <c r="G165" t="s">
        <v>208</v>
      </c>
      <c r="I165" s="22" t="s">
        <v>10</v>
      </c>
      <c r="J165" s="19">
        <f>IF(Table2[[#This Row],[Total Amount]]="","",J164+Table2[[#This Row],[Total Amount]])</f>
        <v>764.89999999999918</v>
      </c>
      <c r="K165" s="24">
        <f>K164+Table2[[#This Row],[$ Nemjay]]</f>
        <v>-11660.548266666676</v>
      </c>
      <c r="L165" s="24">
        <f>L164+Table2[[#This Row],[$ Anthony]]</f>
        <v>12425.448266666686</v>
      </c>
    </row>
    <row r="166" spans="1:12" x14ac:dyDescent="0.2">
      <c r="A166" s="18">
        <v>46080</v>
      </c>
      <c r="B166" s="19">
        <v>-19.77</v>
      </c>
      <c r="C166" s="20">
        <v>0.5</v>
      </c>
      <c r="D166" s="20">
        <f t="shared" si="6"/>
        <v>0.5</v>
      </c>
      <c r="E166" s="26">
        <f t="shared" si="7"/>
        <v>-9.8849999999999998</v>
      </c>
      <c r="F166" s="26">
        <f t="shared" si="8"/>
        <v>-9.8849999999999998</v>
      </c>
      <c r="G166" t="s">
        <v>209</v>
      </c>
      <c r="H166" t="s">
        <v>210</v>
      </c>
      <c r="I166" s="22" t="s">
        <v>5</v>
      </c>
      <c r="J166" s="19">
        <f>IF(Table2[[#This Row],[Total Amount]]="","",J165+Table2[[#This Row],[Total Amount]])</f>
        <v>745.1299999999992</v>
      </c>
      <c r="K166" s="24">
        <f>K165+Table2[[#This Row],[$ Nemjay]]</f>
        <v>-11670.433266666676</v>
      </c>
      <c r="L166" s="24">
        <f>L165+Table2[[#This Row],[$ Anthony]]</f>
        <v>12415.563266666686</v>
      </c>
    </row>
    <row r="167" spans="1:12" x14ac:dyDescent="0.2">
      <c r="A167" s="18">
        <v>46080</v>
      </c>
      <c r="B167" s="19">
        <v>-9.9499999999999993</v>
      </c>
      <c r="C167" s="20">
        <v>1</v>
      </c>
      <c r="D167" s="20">
        <f t="shared" si="6"/>
        <v>0</v>
      </c>
      <c r="E167" s="26">
        <f t="shared" si="7"/>
        <v>-9.9499999999999993</v>
      </c>
      <c r="F167" s="26">
        <f t="shared" si="8"/>
        <v>0</v>
      </c>
      <c r="G167" t="s">
        <v>199</v>
      </c>
      <c r="I167" s="22" t="s">
        <v>5</v>
      </c>
      <c r="J167" s="19">
        <f>IF(Table2[[#This Row],[Total Amount]]="","",J166+Table2[[#This Row],[Total Amount]])</f>
        <v>735.17999999999915</v>
      </c>
      <c r="K167" s="24">
        <f>K166+Table2[[#This Row],[$ Nemjay]]</f>
        <v>-11680.383266666677</v>
      </c>
      <c r="L167" s="24">
        <f>L166+Table2[[#This Row],[$ Anthony]]</f>
        <v>12415.563266666686</v>
      </c>
    </row>
    <row r="168" spans="1:12" x14ac:dyDescent="0.2">
      <c r="A168" s="18">
        <v>46081</v>
      </c>
      <c r="B168" s="19">
        <v>-10</v>
      </c>
      <c r="C168" s="20">
        <v>1</v>
      </c>
      <c r="D168" s="20">
        <f t="shared" si="6"/>
        <v>0</v>
      </c>
      <c r="E168" s="26">
        <f t="shared" si="7"/>
        <v>-10</v>
      </c>
      <c r="F168" s="26">
        <f t="shared" si="8"/>
        <v>0</v>
      </c>
      <c r="G168" t="s">
        <v>208</v>
      </c>
      <c r="I168" s="22" t="s">
        <v>10</v>
      </c>
      <c r="J168" s="19">
        <f>IF(Table2[[#This Row],[Total Amount]]="","",J167+Table2[[#This Row],[Total Amount]])</f>
        <v>725.17999999999915</v>
      </c>
      <c r="K168" s="24">
        <f>K167+Table2[[#This Row],[$ Nemjay]]</f>
        <v>-11690.383266666677</v>
      </c>
      <c r="L168" s="24">
        <f>L167+Table2[[#This Row],[$ Anthony]]</f>
        <v>12415.563266666686</v>
      </c>
    </row>
    <row r="169" spans="1:12" x14ac:dyDescent="0.2">
      <c r="A169" s="18">
        <v>46082</v>
      </c>
      <c r="B169" s="19">
        <v>-9.92</v>
      </c>
      <c r="C169" s="20">
        <v>0</v>
      </c>
      <c r="D169" s="20">
        <f t="shared" si="6"/>
        <v>1</v>
      </c>
      <c r="E169" s="26">
        <f t="shared" si="7"/>
        <v>0</v>
      </c>
      <c r="F169" s="26">
        <f t="shared" si="8"/>
        <v>-9.92</v>
      </c>
      <c r="G169" t="s">
        <v>211</v>
      </c>
      <c r="I169" s="22" t="s">
        <v>6</v>
      </c>
      <c r="J169" s="19">
        <f>IF(Table2[[#This Row],[Total Amount]]="","",J168+Table2[[#This Row],[Total Amount]])</f>
        <v>715.2599999999992</v>
      </c>
      <c r="K169" s="24">
        <f>K168+Table2[[#This Row],[$ Nemjay]]</f>
        <v>-11690.383266666677</v>
      </c>
      <c r="L169" s="24">
        <f>L168+Table2[[#This Row],[$ Anthony]]</f>
        <v>12405.643266666686</v>
      </c>
    </row>
    <row r="170" spans="1:12" x14ac:dyDescent="0.2">
      <c r="A170" s="18">
        <v>46082</v>
      </c>
      <c r="B170" s="19">
        <v>-20.5</v>
      </c>
      <c r="C170" s="20">
        <v>0.5</v>
      </c>
      <c r="D170" s="20">
        <f t="shared" si="6"/>
        <v>0.5</v>
      </c>
      <c r="E170" s="26">
        <f t="shared" si="7"/>
        <v>-10.25</v>
      </c>
      <c r="F170" s="26">
        <f t="shared" si="8"/>
        <v>-10.25</v>
      </c>
      <c r="G170" t="s">
        <v>212</v>
      </c>
      <c r="H170" t="s">
        <v>213</v>
      </c>
      <c r="I170" s="22" t="s">
        <v>6</v>
      </c>
      <c r="J170" s="19">
        <f>IF(Table2[[#This Row],[Total Amount]]="","",J169+Table2[[#This Row],[Total Amount]])</f>
        <v>694.7599999999992</v>
      </c>
      <c r="K170" s="24">
        <f>K169+Table2[[#This Row],[$ Nemjay]]</f>
        <v>-11700.633266666677</v>
      </c>
      <c r="L170" s="24">
        <f>L169+Table2[[#This Row],[$ Anthony]]</f>
        <v>12395.393266666686</v>
      </c>
    </row>
    <row r="171" spans="1:12" x14ac:dyDescent="0.2">
      <c r="A171" s="18">
        <v>46082</v>
      </c>
      <c r="B171" s="19">
        <v>2300</v>
      </c>
      <c r="C171" s="20">
        <v>1</v>
      </c>
      <c r="D171" s="20">
        <f t="shared" si="6"/>
        <v>0</v>
      </c>
      <c r="E171" s="26">
        <f t="shared" si="7"/>
        <v>2300</v>
      </c>
      <c r="F171" s="26">
        <f t="shared" si="8"/>
        <v>0</v>
      </c>
      <c r="G171" t="s">
        <v>214</v>
      </c>
      <c r="H171" t="s">
        <v>215</v>
      </c>
      <c r="I171" s="22" t="s">
        <v>111</v>
      </c>
      <c r="J171" s="19">
        <f>IF(Table2[[#This Row],[Total Amount]]="","",J170+Table2[[#This Row],[Total Amount]])</f>
        <v>2994.7599999999993</v>
      </c>
      <c r="K171" s="24">
        <f>K170+Table2[[#This Row],[$ Nemjay]]</f>
        <v>-9400.6332666666767</v>
      </c>
      <c r="L171" s="24">
        <f>L170+Table2[[#This Row],[$ Anthony]]</f>
        <v>12395.393266666686</v>
      </c>
    </row>
    <row r="172" spans="1:12" x14ac:dyDescent="0.2">
      <c r="A172" s="18">
        <v>46084</v>
      </c>
      <c r="B172" s="19">
        <v>-3.85</v>
      </c>
      <c r="C172" s="20">
        <v>0</v>
      </c>
      <c r="D172" s="20">
        <f t="shared" si="6"/>
        <v>1</v>
      </c>
      <c r="E172" s="26">
        <f t="shared" si="7"/>
        <v>0</v>
      </c>
      <c r="F172" s="26">
        <f t="shared" si="8"/>
        <v>-3.85</v>
      </c>
      <c r="G172" t="s">
        <v>216</v>
      </c>
      <c r="H172" t="s">
        <v>217</v>
      </c>
      <c r="I172" s="22" t="s">
        <v>4</v>
      </c>
      <c r="J172" s="19">
        <f>IF(Table2[[#This Row],[Total Amount]]="","",J171+Table2[[#This Row],[Total Amount]])</f>
        <v>2990.9099999999994</v>
      </c>
      <c r="K172" s="24">
        <f>K171+Table2[[#This Row],[$ Nemjay]]</f>
        <v>-9400.6332666666767</v>
      </c>
      <c r="L172" s="24">
        <f>L171+Table2[[#This Row],[$ Anthony]]</f>
        <v>12391.543266666686</v>
      </c>
    </row>
    <row r="173" spans="1:12" x14ac:dyDescent="0.2">
      <c r="A173" s="18">
        <v>46084</v>
      </c>
      <c r="B173" s="19">
        <v>-5.7</v>
      </c>
      <c r="C173" s="20">
        <v>1</v>
      </c>
      <c r="D173" s="20">
        <f t="shared" si="6"/>
        <v>0</v>
      </c>
      <c r="E173" s="26">
        <f t="shared" si="7"/>
        <v>-5.7</v>
      </c>
      <c r="F173" s="26">
        <f t="shared" si="8"/>
        <v>0</v>
      </c>
      <c r="G173" t="s">
        <v>218</v>
      </c>
      <c r="H173" t="s">
        <v>91</v>
      </c>
      <c r="I173" s="22" t="s">
        <v>8</v>
      </c>
      <c r="J173" s="19">
        <f>IF(Table2[[#This Row],[Total Amount]]="","",J172+Table2[[#This Row],[Total Amount]])</f>
        <v>2985.2099999999996</v>
      </c>
      <c r="K173" s="24">
        <f>K172+Table2[[#This Row],[$ Nemjay]]</f>
        <v>-9406.3332666666774</v>
      </c>
      <c r="L173" s="24">
        <f>L172+Table2[[#This Row],[$ Anthony]]</f>
        <v>12391.543266666686</v>
      </c>
    </row>
    <row r="174" spans="1:12" x14ac:dyDescent="0.2">
      <c r="A174" s="18">
        <v>46084</v>
      </c>
      <c r="B174" s="19">
        <v>-10</v>
      </c>
      <c r="C174" s="20">
        <v>1</v>
      </c>
      <c r="D174" s="20">
        <f t="shared" si="6"/>
        <v>0</v>
      </c>
      <c r="E174" s="26">
        <f t="shared" si="7"/>
        <v>-10</v>
      </c>
      <c r="F174" s="26">
        <f t="shared" si="8"/>
        <v>0</v>
      </c>
      <c r="G174" t="s">
        <v>208</v>
      </c>
      <c r="I174" s="22" t="s">
        <v>10</v>
      </c>
      <c r="J174" s="19">
        <f>IF(Table2[[#This Row],[Total Amount]]="","",J173+Table2[[#This Row],[Total Amount]])</f>
        <v>2975.2099999999996</v>
      </c>
      <c r="K174" s="24">
        <f>K173+Table2[[#This Row],[$ Nemjay]]</f>
        <v>-9416.3332666666774</v>
      </c>
      <c r="L174" s="24">
        <f>L173+Table2[[#This Row],[$ Anthony]]</f>
        <v>12391.543266666686</v>
      </c>
    </row>
    <row r="175" spans="1:12" x14ac:dyDescent="0.2">
      <c r="A175" s="18">
        <v>46084</v>
      </c>
      <c r="B175" s="19">
        <v>-3.33</v>
      </c>
      <c r="C175" s="20">
        <v>1</v>
      </c>
      <c r="D175" s="20">
        <f t="shared" si="6"/>
        <v>0</v>
      </c>
      <c r="E175" s="26">
        <f t="shared" si="7"/>
        <v>-3.33</v>
      </c>
      <c r="F175" s="26">
        <f t="shared" si="8"/>
        <v>0</v>
      </c>
      <c r="G175" t="s">
        <v>219</v>
      </c>
      <c r="I175" s="22" t="s">
        <v>5</v>
      </c>
      <c r="J175" s="19">
        <f>IF(Table2[[#This Row],[Total Amount]]="","",J174+Table2[[#This Row],[Total Amount]])</f>
        <v>2971.8799999999997</v>
      </c>
      <c r="K175" s="24">
        <f>K174+Table2[[#This Row],[$ Nemjay]]</f>
        <v>-9419.6632666666774</v>
      </c>
      <c r="L175" s="24">
        <f>L174+Table2[[#This Row],[$ Anthony]]</f>
        <v>12391.543266666686</v>
      </c>
    </row>
    <row r="176" spans="1:12" x14ac:dyDescent="0.2">
      <c r="A176" s="18">
        <v>46084</v>
      </c>
      <c r="B176" s="19">
        <v>-80</v>
      </c>
      <c r="C176" s="20">
        <v>0.5</v>
      </c>
      <c r="D176" s="20">
        <f t="shared" si="6"/>
        <v>0.5</v>
      </c>
      <c r="E176" s="26">
        <f t="shared" si="7"/>
        <v>-40</v>
      </c>
      <c r="F176" s="26">
        <f t="shared" si="8"/>
        <v>-40</v>
      </c>
      <c r="G176" t="s">
        <v>220</v>
      </c>
      <c r="H176" t="s">
        <v>47</v>
      </c>
      <c r="I176" s="22" t="s">
        <v>4</v>
      </c>
      <c r="J176" s="19">
        <f>IF(Table2[[#This Row],[Total Amount]]="","",J175+Table2[[#This Row],[Total Amount]])</f>
        <v>2891.8799999999997</v>
      </c>
      <c r="K176" s="24">
        <f>K175+Table2[[#This Row],[$ Nemjay]]</f>
        <v>-9459.6632666666774</v>
      </c>
      <c r="L176" s="24">
        <f>L175+Table2[[#This Row],[$ Anthony]]</f>
        <v>12351.543266666686</v>
      </c>
    </row>
    <row r="177" spans="1:12" x14ac:dyDescent="0.2">
      <c r="A177" s="18">
        <v>46085</v>
      </c>
      <c r="B177" s="19">
        <v>-60.26</v>
      </c>
      <c r="C177" s="20">
        <v>1</v>
      </c>
      <c r="D177" s="20">
        <f t="shared" si="6"/>
        <v>0</v>
      </c>
      <c r="E177" s="26">
        <f t="shared" si="7"/>
        <v>-60.26</v>
      </c>
      <c r="F177" s="26">
        <f t="shared" si="8"/>
        <v>0</v>
      </c>
      <c r="G177" t="s">
        <v>221</v>
      </c>
      <c r="H177" t="s">
        <v>222</v>
      </c>
      <c r="I177" s="22" t="s">
        <v>10</v>
      </c>
      <c r="J177" s="19">
        <f>IF(Table2[[#This Row],[Total Amount]]="","",J176+Table2[[#This Row],[Total Amount]])</f>
        <v>2831.6199999999994</v>
      </c>
      <c r="K177" s="24">
        <f>K176+Table2[[#This Row],[$ Nemjay]]</f>
        <v>-9519.9232666666776</v>
      </c>
      <c r="L177" s="24">
        <f>L176+Table2[[#This Row],[$ Anthony]]</f>
        <v>12351.543266666686</v>
      </c>
    </row>
    <row r="178" spans="1:12" x14ac:dyDescent="0.2">
      <c r="A178" s="18">
        <v>46085</v>
      </c>
      <c r="B178" s="19">
        <v>-6.1</v>
      </c>
      <c r="C178" s="20">
        <v>1</v>
      </c>
      <c r="D178" s="20">
        <f t="shared" si="6"/>
        <v>0</v>
      </c>
      <c r="E178" s="26">
        <f t="shared" si="7"/>
        <v>-6.1</v>
      </c>
      <c r="F178" s="26">
        <f t="shared" si="8"/>
        <v>0</v>
      </c>
      <c r="G178" t="s">
        <v>223</v>
      </c>
      <c r="H178" t="s">
        <v>5</v>
      </c>
      <c r="I178" s="22" t="s">
        <v>5</v>
      </c>
      <c r="J178" s="19">
        <f>IF(Table2[[#This Row],[Total Amount]]="","",J177+Table2[[#This Row],[Total Amount]])</f>
        <v>2825.5199999999995</v>
      </c>
      <c r="K178" s="24">
        <f>K177+Table2[[#This Row],[$ Nemjay]]</f>
        <v>-9526.023266666678</v>
      </c>
      <c r="L178" s="24">
        <f>L177+Table2[[#This Row],[$ Anthony]]</f>
        <v>12351.543266666686</v>
      </c>
    </row>
    <row r="179" spans="1:12" x14ac:dyDescent="0.2">
      <c r="A179" s="18">
        <v>46085</v>
      </c>
      <c r="B179" s="19">
        <v>-10</v>
      </c>
      <c r="C179" s="20">
        <v>1</v>
      </c>
      <c r="D179" s="20">
        <f t="shared" si="6"/>
        <v>0</v>
      </c>
      <c r="E179" s="26">
        <f t="shared" si="7"/>
        <v>-10</v>
      </c>
      <c r="F179" s="26">
        <f t="shared" si="8"/>
        <v>0</v>
      </c>
      <c r="G179" t="s">
        <v>208</v>
      </c>
      <c r="I179" s="22" t="s">
        <v>10</v>
      </c>
      <c r="J179" s="19">
        <f>IF(Table2[[#This Row],[Total Amount]]="","",J178+Table2[[#This Row],[Total Amount]])</f>
        <v>2815.5199999999995</v>
      </c>
      <c r="K179" s="24">
        <f>K178+Table2[[#This Row],[$ Nemjay]]</f>
        <v>-9536.023266666678</v>
      </c>
      <c r="L179" s="24">
        <f>L178+Table2[[#This Row],[$ Anthony]]</f>
        <v>12351.543266666686</v>
      </c>
    </row>
    <row r="180" spans="1:12" x14ac:dyDescent="0.2">
      <c r="A180" s="18">
        <v>46085</v>
      </c>
      <c r="B180" s="19">
        <v>-3.33</v>
      </c>
      <c r="C180" s="20">
        <v>1</v>
      </c>
      <c r="D180" s="20">
        <f t="shared" si="6"/>
        <v>0</v>
      </c>
      <c r="E180" s="26">
        <f t="shared" si="7"/>
        <v>-3.33</v>
      </c>
      <c r="F180" s="26">
        <f t="shared" si="8"/>
        <v>0</v>
      </c>
      <c r="G180" t="s">
        <v>219</v>
      </c>
      <c r="I180" s="22" t="s">
        <v>5</v>
      </c>
      <c r="J180" s="19">
        <f>IF(Table2[[#This Row],[Total Amount]]="","",J179+Table2[[#This Row],[Total Amount]])</f>
        <v>2812.1899999999996</v>
      </c>
      <c r="K180" s="24">
        <f>K179+Table2[[#This Row],[$ Nemjay]]</f>
        <v>-9539.3532666666779</v>
      </c>
      <c r="L180" s="24">
        <f>L179+Table2[[#This Row],[$ Anthony]]</f>
        <v>12351.543266666686</v>
      </c>
    </row>
    <row r="181" spans="1:12" x14ac:dyDescent="0.2">
      <c r="A181" s="18">
        <v>46086</v>
      </c>
      <c r="B181" s="19">
        <v>-10</v>
      </c>
      <c r="C181" s="20">
        <v>1</v>
      </c>
      <c r="D181" s="20">
        <v>0.5</v>
      </c>
      <c r="E181" s="26">
        <f t="shared" si="7"/>
        <v>-10</v>
      </c>
      <c r="F181" s="26">
        <f t="shared" si="8"/>
        <v>-5</v>
      </c>
      <c r="G181" t="s">
        <v>208</v>
      </c>
      <c r="I181" s="22" t="s">
        <v>10</v>
      </c>
      <c r="J181" s="19">
        <f>IF(Table2[[#This Row],[Total Amount]]="","",J180+Table2[[#This Row],[Total Amount]])</f>
        <v>2802.1899999999996</v>
      </c>
      <c r="K181" s="24">
        <f>K180+Table2[[#This Row],[$ Nemjay]]</f>
        <v>-9549.3532666666779</v>
      </c>
      <c r="L181" s="24">
        <f>L180+Table2[[#This Row],[$ Anthony]]</f>
        <v>12346.543266666686</v>
      </c>
    </row>
    <row r="182" spans="1:12" x14ac:dyDescent="0.2">
      <c r="A182" s="18">
        <v>46086</v>
      </c>
      <c r="B182" s="19">
        <v>-15</v>
      </c>
      <c r="C182" s="20">
        <v>0</v>
      </c>
      <c r="D182" s="20">
        <f t="shared" si="6"/>
        <v>1</v>
      </c>
      <c r="E182" s="26">
        <f t="shared" si="7"/>
        <v>0</v>
      </c>
      <c r="F182" s="26">
        <f t="shared" si="8"/>
        <v>-15</v>
      </c>
      <c r="G182" t="s">
        <v>224</v>
      </c>
      <c r="I182" s="22" t="s">
        <v>10</v>
      </c>
      <c r="J182" s="19">
        <f>IF(Table2[[#This Row],[Total Amount]]="","",J181+Table2[[#This Row],[Total Amount]])</f>
        <v>2787.1899999999996</v>
      </c>
      <c r="K182" s="24">
        <f>K181+Table2[[#This Row],[$ Nemjay]]</f>
        <v>-9549.3532666666779</v>
      </c>
      <c r="L182" s="24">
        <f>L181+Table2[[#This Row],[$ Anthony]]</f>
        <v>12331.543266666686</v>
      </c>
    </row>
    <row r="183" spans="1:12" x14ac:dyDescent="0.2">
      <c r="A183" s="18">
        <v>46086</v>
      </c>
      <c r="B183" s="19">
        <v>-1000</v>
      </c>
      <c r="C183" s="20">
        <v>0.5</v>
      </c>
      <c r="D183" s="20">
        <v>0.5</v>
      </c>
      <c r="E183" s="26">
        <f t="shared" si="7"/>
        <v>-500</v>
      </c>
      <c r="F183" s="26">
        <f t="shared" si="8"/>
        <v>-500</v>
      </c>
      <c r="G183" t="s">
        <v>225</v>
      </c>
      <c r="I183" s="22" t="s">
        <v>54</v>
      </c>
      <c r="J183" s="19">
        <f>IF(Table2[[#This Row],[Total Amount]]="","",J182+Table2[[#This Row],[Total Amount]])</f>
        <v>1787.1899999999996</v>
      </c>
      <c r="K183" s="24">
        <f>K182+Table2[[#This Row],[$ Nemjay]]</f>
        <v>-10049.353266666678</v>
      </c>
      <c r="L183" s="24">
        <f>L182+Table2[[#This Row],[$ Anthony]]</f>
        <v>11831.543266666686</v>
      </c>
    </row>
    <row r="184" spans="1:12" x14ac:dyDescent="0.2">
      <c r="A184" s="18">
        <v>46087</v>
      </c>
      <c r="B184" s="19">
        <v>-10</v>
      </c>
      <c r="C184" s="20">
        <v>1</v>
      </c>
      <c r="D184" s="20">
        <f t="shared" si="6"/>
        <v>0</v>
      </c>
      <c r="E184" s="26">
        <f t="shared" si="7"/>
        <v>-10</v>
      </c>
      <c r="F184" s="26">
        <f t="shared" si="8"/>
        <v>0</v>
      </c>
      <c r="G184" t="s">
        <v>208</v>
      </c>
      <c r="I184" s="22" t="s">
        <v>10</v>
      </c>
      <c r="J184" s="19">
        <f>IF(Table2[[#This Row],[Total Amount]]="","",J183+Table2[[#This Row],[Total Amount]])</f>
        <v>1777.1899999999996</v>
      </c>
      <c r="K184" s="24">
        <f>K183+Table2[[#This Row],[$ Nemjay]]</f>
        <v>-10059.353266666678</v>
      </c>
      <c r="L184" s="24">
        <f>L183+Table2[[#This Row],[$ Anthony]]</f>
        <v>11831.543266666686</v>
      </c>
    </row>
    <row r="185" spans="1:12" x14ac:dyDescent="0.2">
      <c r="A185" s="18">
        <v>46088</v>
      </c>
      <c r="B185" s="19">
        <v>-10</v>
      </c>
      <c r="C185" s="20">
        <v>1</v>
      </c>
      <c r="D185" s="20">
        <f t="shared" si="6"/>
        <v>0</v>
      </c>
      <c r="E185" s="26">
        <f t="shared" si="7"/>
        <v>-10</v>
      </c>
      <c r="F185" s="26">
        <f t="shared" si="8"/>
        <v>0</v>
      </c>
      <c r="G185" t="s">
        <v>208</v>
      </c>
      <c r="I185" s="22" t="s">
        <v>10</v>
      </c>
      <c r="J185" s="19">
        <f>IF(Table2[[#This Row],[Total Amount]]="","",J184+Table2[[#This Row],[Total Amount]])</f>
        <v>1767.1899999999996</v>
      </c>
      <c r="K185" s="24">
        <f>K184+Table2[[#This Row],[$ Nemjay]]</f>
        <v>-10069.353266666678</v>
      </c>
      <c r="L185" s="24">
        <f>L184+Table2[[#This Row],[$ Anthony]]</f>
        <v>11831.543266666686</v>
      </c>
    </row>
    <row r="186" spans="1:12" x14ac:dyDescent="0.2">
      <c r="A186" s="18">
        <v>46089</v>
      </c>
      <c r="B186" s="19">
        <v>-10</v>
      </c>
      <c r="C186" s="20">
        <v>1</v>
      </c>
      <c r="D186" s="20">
        <f t="shared" si="6"/>
        <v>0</v>
      </c>
      <c r="E186" s="26">
        <f t="shared" si="7"/>
        <v>-10</v>
      </c>
      <c r="F186" s="26">
        <f t="shared" si="8"/>
        <v>0</v>
      </c>
      <c r="G186" t="s">
        <v>208</v>
      </c>
      <c r="I186" s="22" t="s">
        <v>10</v>
      </c>
      <c r="J186" s="19">
        <f>IF(Table2[[#This Row],[Total Amount]]="","",J185+Table2[[#This Row],[Total Amount]])</f>
        <v>1757.1899999999996</v>
      </c>
      <c r="K186" s="24">
        <f>K185+Table2[[#This Row],[$ Nemjay]]</f>
        <v>-10079.353266666678</v>
      </c>
      <c r="L186" s="24">
        <f>L185+Table2[[#This Row],[$ Anthony]]</f>
        <v>11831.543266666686</v>
      </c>
    </row>
    <row r="187" spans="1:12" x14ac:dyDescent="0.2">
      <c r="A187" s="18">
        <v>46089</v>
      </c>
      <c r="B187" s="19">
        <v>-9.56</v>
      </c>
      <c r="C187" s="20">
        <v>1</v>
      </c>
      <c r="D187" s="20">
        <f t="shared" si="6"/>
        <v>0</v>
      </c>
      <c r="E187" s="26">
        <f t="shared" si="7"/>
        <v>-9.56</v>
      </c>
      <c r="F187" s="26">
        <f t="shared" si="8"/>
        <v>0</v>
      </c>
      <c r="G187" t="s">
        <v>226</v>
      </c>
      <c r="H187" t="s">
        <v>5</v>
      </c>
      <c r="I187" s="22" t="s">
        <v>5</v>
      </c>
      <c r="J187" s="19">
        <f>IF(Table2[[#This Row],[Total Amount]]="","",J186+Table2[[#This Row],[Total Amount]])</f>
        <v>1747.6299999999997</v>
      </c>
      <c r="K187" s="24">
        <f>K186+Table2[[#This Row],[$ Nemjay]]</f>
        <v>-10088.913266666677</v>
      </c>
      <c r="L187" s="24">
        <f>L186+Table2[[#This Row],[$ Anthony]]</f>
        <v>11831.543266666686</v>
      </c>
    </row>
    <row r="188" spans="1:12" x14ac:dyDescent="0.2">
      <c r="A188" s="18">
        <v>46089</v>
      </c>
      <c r="B188" s="19">
        <v>-20</v>
      </c>
      <c r="C188" s="20">
        <v>0.5</v>
      </c>
      <c r="D188" s="20">
        <f t="shared" si="6"/>
        <v>0.5</v>
      </c>
      <c r="E188" s="26">
        <f t="shared" si="7"/>
        <v>-10</v>
      </c>
      <c r="F188" s="26">
        <f t="shared" si="8"/>
        <v>-10</v>
      </c>
      <c r="G188" t="s">
        <v>227</v>
      </c>
      <c r="H188" t="s">
        <v>228</v>
      </c>
      <c r="I188" s="22" t="s">
        <v>10</v>
      </c>
      <c r="J188" s="19">
        <f>IF(Table2[[#This Row],[Total Amount]]="","",J187+Table2[[#This Row],[Total Amount]])</f>
        <v>1727.6299999999997</v>
      </c>
      <c r="K188" s="24">
        <f>K187+Table2[[#This Row],[$ Nemjay]]</f>
        <v>-10098.913266666677</v>
      </c>
      <c r="L188" s="24">
        <f>L187+Table2[[#This Row],[$ Anthony]]</f>
        <v>11821.543266666686</v>
      </c>
    </row>
    <row r="189" spans="1:12" x14ac:dyDescent="0.2">
      <c r="A189" s="18">
        <v>46090</v>
      </c>
      <c r="B189" s="19">
        <v>-10</v>
      </c>
      <c r="C189" s="20">
        <v>1</v>
      </c>
      <c r="D189" s="20">
        <f t="shared" si="6"/>
        <v>0</v>
      </c>
      <c r="E189" s="26">
        <f t="shared" si="7"/>
        <v>-10</v>
      </c>
      <c r="F189" s="26">
        <f t="shared" si="8"/>
        <v>0</v>
      </c>
      <c r="G189" t="s">
        <v>208</v>
      </c>
      <c r="I189" s="22" t="s">
        <v>10</v>
      </c>
      <c r="J189" s="19">
        <f>IF(Table2[[#This Row],[Total Amount]]="","",J188+Table2[[#This Row],[Total Amount]])</f>
        <v>1717.6299999999997</v>
      </c>
      <c r="K189" s="24">
        <f>K188+Table2[[#This Row],[$ Nemjay]]</f>
        <v>-10108.913266666677</v>
      </c>
      <c r="L189" s="24">
        <f>L188+Table2[[#This Row],[$ Anthony]]</f>
        <v>11821.543266666686</v>
      </c>
    </row>
    <row r="190" spans="1:12" x14ac:dyDescent="0.2">
      <c r="A190" s="18">
        <v>46084</v>
      </c>
      <c r="B190" s="19">
        <v>-35</v>
      </c>
      <c r="C190" s="20">
        <v>1</v>
      </c>
      <c r="D190" s="20">
        <f t="shared" si="6"/>
        <v>0</v>
      </c>
      <c r="E190" s="26">
        <f t="shared" si="7"/>
        <v>-35</v>
      </c>
      <c r="F190" s="26">
        <f t="shared" si="8"/>
        <v>0</v>
      </c>
      <c r="G190" t="s">
        <v>229</v>
      </c>
      <c r="I190" s="22" t="s">
        <v>4</v>
      </c>
      <c r="J190" s="19">
        <f>IF(Table2[[#This Row],[Total Amount]]="","",J189+Table2[[#This Row],[Total Amount]])</f>
        <v>1682.6299999999997</v>
      </c>
      <c r="K190" s="24">
        <f>K189+Table2[[#This Row],[$ Nemjay]]</f>
        <v>-10143.913266666677</v>
      </c>
      <c r="L190" s="24">
        <f>L189+Table2[[#This Row],[$ Anthony]]</f>
        <v>11821.543266666686</v>
      </c>
    </row>
    <row r="191" spans="1:12" x14ac:dyDescent="0.2">
      <c r="A191" s="18">
        <v>46084</v>
      </c>
      <c r="B191" s="19">
        <v>-15</v>
      </c>
      <c r="C191" s="20">
        <v>0</v>
      </c>
      <c r="D191" s="20">
        <f t="shared" si="6"/>
        <v>1</v>
      </c>
      <c r="E191" s="26">
        <f t="shared" si="7"/>
        <v>0</v>
      </c>
      <c r="F191" s="26">
        <f t="shared" si="8"/>
        <v>-15</v>
      </c>
      <c r="G191" t="s">
        <v>224</v>
      </c>
      <c r="I191" s="22" t="s">
        <v>10</v>
      </c>
      <c r="J191" s="19">
        <f>IF(Table2[[#This Row],[Total Amount]]="","",J190+Table2[[#This Row],[Total Amount]])</f>
        <v>1667.6299999999997</v>
      </c>
      <c r="K191" s="24">
        <f>K190+Table2[[#This Row],[$ Nemjay]]</f>
        <v>-10143.913266666677</v>
      </c>
      <c r="L191" s="24">
        <f>L190+Table2[[#This Row],[$ Anthony]]</f>
        <v>11806.543266666686</v>
      </c>
    </row>
    <row r="192" spans="1:12" x14ac:dyDescent="0.2">
      <c r="A192" s="18">
        <v>46084</v>
      </c>
      <c r="B192" s="19">
        <v>-373</v>
      </c>
      <c r="C192" s="20">
        <v>0</v>
      </c>
      <c r="D192" s="20">
        <f t="shared" si="6"/>
        <v>1</v>
      </c>
      <c r="E192" s="26">
        <f t="shared" si="7"/>
        <v>0</v>
      </c>
      <c r="F192" s="26">
        <f t="shared" si="8"/>
        <v>-373</v>
      </c>
      <c r="G192" t="s">
        <v>230</v>
      </c>
      <c r="H192" t="s">
        <v>231</v>
      </c>
      <c r="I192" s="22" t="s">
        <v>268</v>
      </c>
      <c r="J192" s="19">
        <f>IF(Table2[[#This Row],[Total Amount]]="","",J191+Table2[[#This Row],[Total Amount]])</f>
        <v>1294.6299999999997</v>
      </c>
      <c r="K192" s="24">
        <f>K191+Table2[[#This Row],[$ Nemjay]]</f>
        <v>-10143.913266666677</v>
      </c>
      <c r="L192" s="24">
        <f>L191+Table2[[#This Row],[$ Anthony]]</f>
        <v>11433.543266666686</v>
      </c>
    </row>
    <row r="193" spans="1:12" x14ac:dyDescent="0.2">
      <c r="A193" s="18">
        <v>46084</v>
      </c>
      <c r="B193" s="19">
        <v>-3259</v>
      </c>
      <c r="C193" s="20">
        <v>0.5</v>
      </c>
      <c r="D193" s="20">
        <f t="shared" si="6"/>
        <v>0.5</v>
      </c>
      <c r="E193" s="26">
        <f t="shared" si="7"/>
        <v>-1629.5</v>
      </c>
      <c r="F193" s="26">
        <f t="shared" si="8"/>
        <v>-1629.5</v>
      </c>
      <c r="G193" t="s">
        <v>232</v>
      </c>
      <c r="I193" s="22" t="s">
        <v>51</v>
      </c>
      <c r="J193" s="19">
        <f>IF(Table2[[#This Row],[Total Amount]]="","",J192+Table2[[#This Row],[Total Amount]])</f>
        <v>-1964.3700000000003</v>
      </c>
      <c r="K193" s="24">
        <f>K192+Table2[[#This Row],[$ Nemjay]]</f>
        <v>-11773.413266666677</v>
      </c>
      <c r="L193" s="24">
        <f>L192+Table2[[#This Row],[$ Anthony]]</f>
        <v>9804.0432666666857</v>
      </c>
    </row>
    <row r="194" spans="1:12" x14ac:dyDescent="0.2">
      <c r="A194" s="18">
        <v>46084</v>
      </c>
      <c r="B194" s="19">
        <v>2459</v>
      </c>
      <c r="C194" s="20">
        <v>0.5</v>
      </c>
      <c r="D194" s="20">
        <f t="shared" si="6"/>
        <v>0.5</v>
      </c>
      <c r="E194" s="26">
        <f t="shared" si="7"/>
        <v>1229.5</v>
      </c>
      <c r="F194" s="26">
        <f t="shared" si="8"/>
        <v>1229.5</v>
      </c>
      <c r="G194" t="s">
        <v>233</v>
      </c>
      <c r="H194" t="s">
        <v>51</v>
      </c>
      <c r="I194" s="22" t="s">
        <v>51</v>
      </c>
      <c r="J194" s="19">
        <f>IF(Table2[[#This Row],[Total Amount]]="","",J193+Table2[[#This Row],[Total Amount]])</f>
        <v>494.62999999999965</v>
      </c>
      <c r="K194" s="24">
        <f>K193+Table2[[#This Row],[$ Nemjay]]</f>
        <v>-10543.913266666677</v>
      </c>
      <c r="L194" s="24">
        <f>L193+Table2[[#This Row],[$ Anthony]]</f>
        <v>11033.543266666686</v>
      </c>
    </row>
    <row r="195" spans="1:12" x14ac:dyDescent="0.2">
      <c r="A195" s="18">
        <v>46092</v>
      </c>
      <c r="B195" s="19">
        <v>-10</v>
      </c>
      <c r="C195" s="20">
        <v>1</v>
      </c>
      <c r="D195" s="20">
        <f t="shared" ref="D195:D233" si="9">IF(C195="","",1-C195)</f>
        <v>0</v>
      </c>
      <c r="E195" s="26">
        <f t="shared" ref="E195:E233" si="10">C195*B195</f>
        <v>-10</v>
      </c>
      <c r="F195" s="26">
        <f t="shared" ref="F195:F233" si="11">D195*B195</f>
        <v>0</v>
      </c>
      <c r="G195" t="s">
        <v>208</v>
      </c>
      <c r="I195" s="22" t="s">
        <v>10</v>
      </c>
      <c r="J195" s="19">
        <f>IF(Table2[[#This Row],[Total Amount]]="","",J194+Table2[[#This Row],[Total Amount]])</f>
        <v>484.62999999999965</v>
      </c>
      <c r="K195" s="24">
        <f>K194+Table2[[#This Row],[$ Nemjay]]</f>
        <v>-10553.913266666677</v>
      </c>
      <c r="L195" s="24">
        <f>L194+Table2[[#This Row],[$ Anthony]]</f>
        <v>11033.543266666686</v>
      </c>
    </row>
    <row r="196" spans="1:12" x14ac:dyDescent="0.2">
      <c r="A196" s="18">
        <v>46092</v>
      </c>
      <c r="B196" s="19">
        <v>-53.26</v>
      </c>
      <c r="C196" s="20">
        <v>0.8</v>
      </c>
      <c r="D196" s="20">
        <f t="shared" si="9"/>
        <v>0.19999999999999996</v>
      </c>
      <c r="E196" s="26">
        <f t="shared" si="10"/>
        <v>-42.608000000000004</v>
      </c>
      <c r="F196" s="26">
        <f t="shared" si="11"/>
        <v>-10.651999999999997</v>
      </c>
      <c r="G196" t="s">
        <v>234</v>
      </c>
      <c r="H196" t="s">
        <v>235</v>
      </c>
      <c r="I196" s="22" t="s">
        <v>6</v>
      </c>
      <c r="J196" s="19">
        <f>IF(Table2[[#This Row],[Total Amount]]="","",J195+Table2[[#This Row],[Total Amount]])</f>
        <v>431.36999999999966</v>
      </c>
      <c r="K196" s="24">
        <f>K195+Table2[[#This Row],[$ Nemjay]]</f>
        <v>-10596.521266666678</v>
      </c>
      <c r="L196" s="24">
        <f>L195+Table2[[#This Row],[$ Anthony]]</f>
        <v>11022.891266666686</v>
      </c>
    </row>
    <row r="197" spans="1:12" x14ac:dyDescent="0.2">
      <c r="A197" s="18">
        <v>46092</v>
      </c>
      <c r="B197" s="19">
        <v>-10</v>
      </c>
      <c r="C197" s="20">
        <v>1</v>
      </c>
      <c r="D197" s="20">
        <f t="shared" si="9"/>
        <v>0</v>
      </c>
      <c r="E197" s="26">
        <f t="shared" si="10"/>
        <v>-10</v>
      </c>
      <c r="F197" s="26">
        <f t="shared" si="11"/>
        <v>0</v>
      </c>
      <c r="G197" t="s">
        <v>219</v>
      </c>
      <c r="I197" s="22" t="s">
        <v>5</v>
      </c>
      <c r="J197" s="19">
        <f>IF(Table2[[#This Row],[Total Amount]]="","",J196+Table2[[#This Row],[Total Amount]])</f>
        <v>421.36999999999966</v>
      </c>
      <c r="K197" s="24">
        <f>K196+Table2[[#This Row],[$ Nemjay]]</f>
        <v>-10606.521266666678</v>
      </c>
      <c r="L197" s="24">
        <f>L196+Table2[[#This Row],[$ Anthony]]</f>
        <v>11022.891266666686</v>
      </c>
    </row>
    <row r="198" spans="1:12" x14ac:dyDescent="0.2">
      <c r="A198" s="18">
        <v>46093</v>
      </c>
      <c r="B198" s="19">
        <v>-10</v>
      </c>
      <c r="C198" s="20">
        <v>1</v>
      </c>
      <c r="D198" s="20">
        <f t="shared" si="9"/>
        <v>0</v>
      </c>
      <c r="E198" s="26">
        <f t="shared" si="10"/>
        <v>-10</v>
      </c>
      <c r="F198" s="26">
        <f t="shared" si="11"/>
        <v>0</v>
      </c>
      <c r="G198" t="s">
        <v>208</v>
      </c>
      <c r="I198" s="22" t="s">
        <v>10</v>
      </c>
      <c r="J198" s="19">
        <f>IF(Table2[[#This Row],[Total Amount]]="","",J197+Table2[[#This Row],[Total Amount]])</f>
        <v>411.36999999999966</v>
      </c>
      <c r="K198" s="24">
        <f>K197+Table2[[#This Row],[$ Nemjay]]</f>
        <v>-10616.521266666678</v>
      </c>
      <c r="L198" s="24">
        <f>L197+Table2[[#This Row],[$ Anthony]]</f>
        <v>11022.891266666686</v>
      </c>
    </row>
    <row r="199" spans="1:12" x14ac:dyDescent="0.2">
      <c r="A199" s="18">
        <v>46093</v>
      </c>
      <c r="B199" s="19">
        <v>-14.9</v>
      </c>
      <c r="C199" s="20">
        <v>1</v>
      </c>
      <c r="D199" s="20">
        <f t="shared" si="9"/>
        <v>0</v>
      </c>
      <c r="E199" s="26">
        <f t="shared" si="10"/>
        <v>-14.9</v>
      </c>
      <c r="F199" s="26">
        <f t="shared" si="11"/>
        <v>0</v>
      </c>
      <c r="G199" t="s">
        <v>199</v>
      </c>
      <c r="I199" s="22" t="s">
        <v>5</v>
      </c>
      <c r="J199" s="19">
        <f>IF(Table2[[#This Row],[Total Amount]]="","",J198+Table2[[#This Row],[Total Amount]])</f>
        <v>396.46999999999969</v>
      </c>
      <c r="K199" s="24">
        <f>K198+Table2[[#This Row],[$ Nemjay]]</f>
        <v>-10631.421266666677</v>
      </c>
      <c r="L199" s="24">
        <f>L198+Table2[[#This Row],[$ Anthony]]</f>
        <v>11022.891266666686</v>
      </c>
    </row>
    <row r="200" spans="1:12" x14ac:dyDescent="0.2">
      <c r="A200" s="18">
        <v>46094</v>
      </c>
      <c r="B200" s="19">
        <v>-10</v>
      </c>
      <c r="C200" s="20">
        <v>1</v>
      </c>
      <c r="D200" s="20">
        <f t="shared" si="9"/>
        <v>0</v>
      </c>
      <c r="E200" s="26">
        <f t="shared" si="10"/>
        <v>-10</v>
      </c>
      <c r="F200" s="26">
        <f t="shared" si="11"/>
        <v>0</v>
      </c>
      <c r="G200" t="s">
        <v>208</v>
      </c>
      <c r="I200" s="22" t="s">
        <v>10</v>
      </c>
      <c r="J200" s="19">
        <f>IF(Table2[[#This Row],[Total Amount]]="","",J199+Table2[[#This Row],[Total Amount]])</f>
        <v>386.46999999999969</v>
      </c>
      <c r="K200" s="24">
        <f>K199+Table2[[#This Row],[$ Nemjay]]</f>
        <v>-10641.421266666677</v>
      </c>
      <c r="L200" s="24">
        <f>L199+Table2[[#This Row],[$ Anthony]]</f>
        <v>11022.891266666686</v>
      </c>
    </row>
    <row r="201" spans="1:12" x14ac:dyDescent="0.2">
      <c r="A201" s="18">
        <v>46094</v>
      </c>
      <c r="B201" s="19">
        <v>-49.99</v>
      </c>
      <c r="C201" s="20">
        <v>1</v>
      </c>
      <c r="D201" s="20">
        <f t="shared" si="9"/>
        <v>0</v>
      </c>
      <c r="E201" s="26">
        <f t="shared" si="10"/>
        <v>-49.99</v>
      </c>
      <c r="F201" s="26">
        <f t="shared" si="11"/>
        <v>0</v>
      </c>
      <c r="G201" t="s">
        <v>236</v>
      </c>
      <c r="H201" t="s">
        <v>237</v>
      </c>
      <c r="I201" s="22" t="s">
        <v>8</v>
      </c>
      <c r="J201" s="19">
        <f>IF(Table2[[#This Row],[Total Amount]]="","",J200+Table2[[#This Row],[Total Amount]])</f>
        <v>336.47999999999968</v>
      </c>
      <c r="K201" s="24">
        <f>K200+Table2[[#This Row],[$ Nemjay]]</f>
        <v>-10691.411266666677</v>
      </c>
      <c r="L201" s="24">
        <f>L200+Table2[[#This Row],[$ Anthony]]</f>
        <v>11022.891266666686</v>
      </c>
    </row>
    <row r="202" spans="1:12" x14ac:dyDescent="0.2">
      <c r="A202" s="18">
        <v>46094</v>
      </c>
      <c r="B202" s="19">
        <v>-15</v>
      </c>
      <c r="C202" s="20">
        <v>0</v>
      </c>
      <c r="D202" s="20">
        <f t="shared" si="9"/>
        <v>1</v>
      </c>
      <c r="E202" s="26">
        <f t="shared" si="10"/>
        <v>0</v>
      </c>
      <c r="F202" s="26">
        <f t="shared" si="11"/>
        <v>-15</v>
      </c>
      <c r="G202" t="s">
        <v>224</v>
      </c>
      <c r="I202" s="22" t="s">
        <v>10</v>
      </c>
      <c r="J202" s="19">
        <f>IF(Table2[[#This Row],[Total Amount]]="","",J201+Table2[[#This Row],[Total Amount]])</f>
        <v>321.47999999999968</v>
      </c>
      <c r="K202" s="24">
        <f>K201+Table2[[#This Row],[$ Nemjay]]</f>
        <v>-10691.411266666677</v>
      </c>
      <c r="L202" s="24">
        <f>L201+Table2[[#This Row],[$ Anthony]]</f>
        <v>11007.891266666686</v>
      </c>
    </row>
    <row r="203" spans="1:12" x14ac:dyDescent="0.2">
      <c r="A203" s="18">
        <v>46094</v>
      </c>
      <c r="B203" s="19">
        <v>-220</v>
      </c>
      <c r="C203" s="20">
        <v>0.5</v>
      </c>
      <c r="D203" s="20">
        <f t="shared" si="9"/>
        <v>0.5</v>
      </c>
      <c r="E203" s="26">
        <f t="shared" si="10"/>
        <v>-110</v>
      </c>
      <c r="F203" s="26">
        <f t="shared" si="11"/>
        <v>-110</v>
      </c>
      <c r="G203" t="s">
        <v>238</v>
      </c>
      <c r="H203" t="s">
        <v>239</v>
      </c>
      <c r="I203" s="22" t="s">
        <v>269</v>
      </c>
      <c r="J203" s="19">
        <f>IF(Table2[[#This Row],[Total Amount]]="","",J202+Table2[[#This Row],[Total Amount]])</f>
        <v>101.47999999999968</v>
      </c>
      <c r="K203" s="24">
        <f>K202+Table2[[#This Row],[$ Nemjay]]</f>
        <v>-10801.411266666677</v>
      </c>
      <c r="L203" s="24">
        <f>L202+Table2[[#This Row],[$ Anthony]]</f>
        <v>10897.891266666686</v>
      </c>
    </row>
    <row r="204" spans="1:12" x14ac:dyDescent="0.2">
      <c r="A204" s="18">
        <v>46095</v>
      </c>
      <c r="B204" s="19">
        <v>-10</v>
      </c>
      <c r="C204" s="20">
        <v>1</v>
      </c>
      <c r="D204" s="20">
        <f t="shared" si="9"/>
        <v>0</v>
      </c>
      <c r="E204" s="26">
        <f t="shared" si="10"/>
        <v>-10</v>
      </c>
      <c r="F204" s="26">
        <f t="shared" si="11"/>
        <v>0</v>
      </c>
      <c r="G204" t="s">
        <v>208</v>
      </c>
      <c r="I204" s="22" t="s">
        <v>10</v>
      </c>
      <c r="J204" s="19">
        <f>IF(Table2[[#This Row],[Total Amount]]="","",J203+Table2[[#This Row],[Total Amount]])</f>
        <v>91.479999999999677</v>
      </c>
      <c r="K204" s="24">
        <f>K203+Table2[[#This Row],[$ Nemjay]]</f>
        <v>-10811.411266666677</v>
      </c>
      <c r="L204" s="24">
        <f>L203+Table2[[#This Row],[$ Anthony]]</f>
        <v>10897.891266666686</v>
      </c>
    </row>
    <row r="205" spans="1:12" x14ac:dyDescent="0.2">
      <c r="A205" s="18">
        <v>46095</v>
      </c>
      <c r="B205" s="19">
        <v>-19</v>
      </c>
      <c r="C205" s="20">
        <v>0.5</v>
      </c>
      <c r="D205" s="20">
        <f t="shared" si="9"/>
        <v>0.5</v>
      </c>
      <c r="E205" s="26">
        <f t="shared" si="10"/>
        <v>-9.5</v>
      </c>
      <c r="F205" s="26">
        <f t="shared" si="11"/>
        <v>-9.5</v>
      </c>
      <c r="G205" t="s">
        <v>240</v>
      </c>
      <c r="I205" s="22" t="s">
        <v>5</v>
      </c>
      <c r="J205" s="19">
        <f>IF(Table2[[#This Row],[Total Amount]]="","",J204+Table2[[#This Row],[Total Amount]])</f>
        <v>72.479999999999677</v>
      </c>
      <c r="K205" s="24">
        <f>K204+Table2[[#This Row],[$ Nemjay]]</f>
        <v>-10820.911266666677</v>
      </c>
      <c r="L205" s="24">
        <f>L204+Table2[[#This Row],[$ Anthony]]</f>
        <v>10888.391266666686</v>
      </c>
    </row>
    <row r="206" spans="1:12" x14ac:dyDescent="0.2">
      <c r="A206" s="18">
        <v>46096</v>
      </c>
      <c r="B206" s="19">
        <v>-54.98</v>
      </c>
      <c r="C206" s="20">
        <v>0.5</v>
      </c>
      <c r="D206" s="20">
        <f t="shared" si="9"/>
        <v>0.5</v>
      </c>
      <c r="E206" s="26">
        <f t="shared" si="10"/>
        <v>-27.49</v>
      </c>
      <c r="F206" s="26">
        <f t="shared" si="11"/>
        <v>-27.49</v>
      </c>
      <c r="G206" t="s">
        <v>241</v>
      </c>
      <c r="H206" t="s">
        <v>242</v>
      </c>
      <c r="I206" s="22" t="s">
        <v>270</v>
      </c>
      <c r="J206" s="19">
        <f>IF(Table2[[#This Row],[Total Amount]]="","",J205+Table2[[#This Row],[Total Amount]])</f>
        <v>17.49999999999968</v>
      </c>
      <c r="K206" s="24">
        <f>K205+Table2[[#This Row],[$ Nemjay]]</f>
        <v>-10848.401266666677</v>
      </c>
      <c r="L206" s="24">
        <f>L205+Table2[[#This Row],[$ Anthony]]</f>
        <v>10860.901266666686</v>
      </c>
    </row>
    <row r="207" spans="1:12" x14ac:dyDescent="0.2">
      <c r="A207" s="18">
        <v>46096</v>
      </c>
      <c r="B207" s="19">
        <v>-17.46</v>
      </c>
      <c r="C207" s="20">
        <v>0.5</v>
      </c>
      <c r="D207" s="20">
        <f t="shared" si="9"/>
        <v>0.5</v>
      </c>
      <c r="E207" s="26">
        <f t="shared" si="10"/>
        <v>-8.73</v>
      </c>
      <c r="F207" s="26">
        <f t="shared" si="11"/>
        <v>-8.73</v>
      </c>
      <c r="G207" t="s">
        <v>243</v>
      </c>
      <c r="I207" s="22" t="s">
        <v>6</v>
      </c>
      <c r="J207" s="19">
        <f>IF(Table2[[#This Row],[Total Amount]]="","",J206+Table2[[#This Row],[Total Amount]])</f>
        <v>3.9999999999679403E-2</v>
      </c>
      <c r="K207" s="24">
        <f>K206+Table2[[#This Row],[$ Nemjay]]</f>
        <v>-10857.131266666676</v>
      </c>
      <c r="L207" s="24">
        <f>L206+Table2[[#This Row],[$ Anthony]]</f>
        <v>10852.171266666686</v>
      </c>
    </row>
    <row r="208" spans="1:12" x14ac:dyDescent="0.2">
      <c r="A208" s="18">
        <v>46097</v>
      </c>
      <c r="B208" s="19">
        <v>-7.99</v>
      </c>
      <c r="C208" s="20">
        <v>1</v>
      </c>
      <c r="D208" s="20">
        <f t="shared" si="9"/>
        <v>0</v>
      </c>
      <c r="E208" s="26">
        <f t="shared" si="10"/>
        <v>-7.99</v>
      </c>
      <c r="F208" s="26">
        <f t="shared" si="11"/>
        <v>0</v>
      </c>
      <c r="G208" t="s">
        <v>244</v>
      </c>
      <c r="I208" s="22" t="s">
        <v>5</v>
      </c>
      <c r="J208" s="19">
        <f>IF(Table2[[#This Row],[Total Amount]]="","",J207+Table2[[#This Row],[Total Amount]])</f>
        <v>-7.9500000000003208</v>
      </c>
      <c r="K208" s="24">
        <f>K207+Table2[[#This Row],[$ Nemjay]]</f>
        <v>-10865.121266666676</v>
      </c>
      <c r="L208" s="24">
        <f>L207+Table2[[#This Row],[$ Anthony]]</f>
        <v>10852.171266666686</v>
      </c>
    </row>
    <row r="209" spans="1:12" x14ac:dyDescent="0.2">
      <c r="A209" s="18">
        <v>46097</v>
      </c>
      <c r="B209" s="19">
        <v>-9.56</v>
      </c>
      <c r="C209" s="20">
        <v>1</v>
      </c>
      <c r="D209" s="20">
        <f t="shared" si="9"/>
        <v>0</v>
      </c>
      <c r="E209" s="26">
        <f t="shared" si="10"/>
        <v>-9.56</v>
      </c>
      <c r="F209" s="26">
        <f t="shared" si="11"/>
        <v>0</v>
      </c>
      <c r="G209" t="s">
        <v>245</v>
      </c>
      <c r="I209" s="22" t="s">
        <v>5</v>
      </c>
      <c r="J209" s="19">
        <f>IF(Table2[[#This Row],[Total Amount]]="","",J208+Table2[[#This Row],[Total Amount]])</f>
        <v>-17.510000000000321</v>
      </c>
      <c r="K209" s="24">
        <f>K208+Table2[[#This Row],[$ Nemjay]]</f>
        <v>-10874.681266666676</v>
      </c>
      <c r="L209" s="24">
        <f>L208+Table2[[#This Row],[$ Anthony]]</f>
        <v>10852.171266666686</v>
      </c>
    </row>
    <row r="210" spans="1:12" x14ac:dyDescent="0.2">
      <c r="A210" s="18">
        <v>46097</v>
      </c>
      <c r="B210" s="19">
        <v>-10</v>
      </c>
      <c r="C210" s="20">
        <v>1</v>
      </c>
      <c r="D210" s="20">
        <f t="shared" si="9"/>
        <v>0</v>
      </c>
      <c r="E210" s="26">
        <f t="shared" si="10"/>
        <v>-10</v>
      </c>
      <c r="F210" s="26">
        <f t="shared" si="11"/>
        <v>0</v>
      </c>
      <c r="G210" t="s">
        <v>208</v>
      </c>
      <c r="I210" s="22" t="s">
        <v>10</v>
      </c>
      <c r="J210" s="19">
        <f>IF(Table2[[#This Row],[Total Amount]]="","",J209+Table2[[#This Row],[Total Amount]])</f>
        <v>-27.510000000000321</v>
      </c>
      <c r="K210" s="24">
        <f>K209+Table2[[#This Row],[$ Nemjay]]</f>
        <v>-10884.681266666676</v>
      </c>
      <c r="L210" s="24">
        <f>L209+Table2[[#This Row],[$ Anthony]]</f>
        <v>10852.171266666686</v>
      </c>
    </row>
    <row r="211" spans="1:12" x14ac:dyDescent="0.2">
      <c r="A211" s="18">
        <v>46097</v>
      </c>
      <c r="B211" s="19">
        <v>1000</v>
      </c>
      <c r="C211" s="20">
        <v>0</v>
      </c>
      <c r="D211" s="20">
        <f t="shared" si="9"/>
        <v>1</v>
      </c>
      <c r="E211" s="26">
        <f t="shared" si="10"/>
        <v>0</v>
      </c>
      <c r="F211" s="26">
        <f t="shared" si="11"/>
        <v>1000</v>
      </c>
      <c r="G211" t="s">
        <v>203</v>
      </c>
      <c r="I211" s="22" t="s">
        <v>111</v>
      </c>
      <c r="J211" s="19">
        <f>IF(Table2[[#This Row],[Total Amount]]="","",J210+Table2[[#This Row],[Total Amount]])</f>
        <v>972.48999999999967</v>
      </c>
      <c r="K211" s="24">
        <f>K210+Table2[[#This Row],[$ Nemjay]]</f>
        <v>-10884.681266666676</v>
      </c>
      <c r="L211" s="24">
        <f>L210+Table2[[#This Row],[$ Anthony]]</f>
        <v>11852.171266666686</v>
      </c>
    </row>
    <row r="212" spans="1:12" x14ac:dyDescent="0.2">
      <c r="A212" s="18">
        <v>46098</v>
      </c>
      <c r="B212" s="19">
        <v>-10</v>
      </c>
      <c r="C212" s="20">
        <v>1</v>
      </c>
      <c r="D212" s="20">
        <f t="shared" si="9"/>
        <v>0</v>
      </c>
      <c r="E212" s="26">
        <f t="shared" si="10"/>
        <v>-10</v>
      </c>
      <c r="F212" s="26">
        <f t="shared" si="11"/>
        <v>0</v>
      </c>
      <c r="G212" t="s">
        <v>208</v>
      </c>
      <c r="I212" s="22" t="s">
        <v>10</v>
      </c>
      <c r="J212" s="19">
        <f>IF(Table2[[#This Row],[Total Amount]]="","",J211+Table2[[#This Row],[Total Amount]])</f>
        <v>962.48999999999967</v>
      </c>
      <c r="K212" s="24">
        <f>K211+Table2[[#This Row],[$ Nemjay]]</f>
        <v>-10894.681266666676</v>
      </c>
      <c r="L212" s="24">
        <f>L211+Table2[[#This Row],[$ Anthony]]</f>
        <v>11852.171266666686</v>
      </c>
    </row>
    <row r="213" spans="1:12" x14ac:dyDescent="0.2">
      <c r="A213" s="18">
        <v>46098</v>
      </c>
      <c r="B213" s="19">
        <v>-1.95</v>
      </c>
      <c r="C213" s="20">
        <v>0</v>
      </c>
      <c r="D213" s="20">
        <f t="shared" si="9"/>
        <v>1</v>
      </c>
      <c r="E213" s="26">
        <f t="shared" si="10"/>
        <v>0</v>
      </c>
      <c r="F213" s="26">
        <f t="shared" si="11"/>
        <v>-1.95</v>
      </c>
      <c r="G213" t="s">
        <v>246</v>
      </c>
      <c r="H213" t="s">
        <v>247</v>
      </c>
      <c r="I213" s="22" t="s">
        <v>8</v>
      </c>
      <c r="J213" s="19">
        <f>IF(Table2[[#This Row],[Total Amount]]="","",J212+Table2[[#This Row],[Total Amount]])</f>
        <v>960.53999999999962</v>
      </c>
      <c r="K213" s="24">
        <f>K212+Table2[[#This Row],[$ Nemjay]]</f>
        <v>-10894.681266666676</v>
      </c>
      <c r="L213" s="24">
        <f>L212+Table2[[#This Row],[$ Anthony]]</f>
        <v>11850.221266666686</v>
      </c>
    </row>
    <row r="214" spans="1:12" x14ac:dyDescent="0.2">
      <c r="A214" s="18">
        <v>46098</v>
      </c>
      <c r="B214" s="19">
        <v>-6.47</v>
      </c>
      <c r="C214" s="20">
        <v>0</v>
      </c>
      <c r="D214" s="20">
        <f t="shared" si="9"/>
        <v>1</v>
      </c>
      <c r="E214" s="26">
        <f t="shared" si="10"/>
        <v>0</v>
      </c>
      <c r="F214" s="26">
        <f t="shared" si="11"/>
        <v>-6.47</v>
      </c>
      <c r="G214" t="s">
        <v>246</v>
      </c>
      <c r="H214" t="s">
        <v>247</v>
      </c>
      <c r="I214" s="22" t="s">
        <v>8</v>
      </c>
      <c r="J214" s="19">
        <f>IF(Table2[[#This Row],[Total Amount]]="","",J213+Table2[[#This Row],[Total Amount]])</f>
        <v>954.0699999999996</v>
      </c>
      <c r="K214" s="24">
        <f>K213+Table2[[#This Row],[$ Nemjay]]</f>
        <v>-10894.681266666676</v>
      </c>
      <c r="L214" s="24">
        <f>L213+Table2[[#This Row],[$ Anthony]]</f>
        <v>11843.751266666686</v>
      </c>
    </row>
    <row r="215" spans="1:12" x14ac:dyDescent="0.2">
      <c r="A215" s="18">
        <v>46098</v>
      </c>
      <c r="B215" s="19">
        <v>-8</v>
      </c>
      <c r="C215" s="20">
        <v>0.5</v>
      </c>
      <c r="D215" s="20">
        <f t="shared" si="9"/>
        <v>0.5</v>
      </c>
      <c r="E215" s="26">
        <f t="shared" si="10"/>
        <v>-4</v>
      </c>
      <c r="F215" s="26">
        <f t="shared" si="11"/>
        <v>-4</v>
      </c>
      <c r="G215" t="s">
        <v>248</v>
      </c>
      <c r="H215" t="s">
        <v>249</v>
      </c>
      <c r="I215" s="22" t="s">
        <v>6</v>
      </c>
      <c r="J215" s="19">
        <f>IF(Table2[[#This Row],[Total Amount]]="","",J214+Table2[[#This Row],[Total Amount]])</f>
        <v>946.0699999999996</v>
      </c>
      <c r="K215" s="24">
        <f>K214+Table2[[#This Row],[$ Nemjay]]</f>
        <v>-10898.681266666676</v>
      </c>
      <c r="L215" s="24">
        <f>L214+Table2[[#This Row],[$ Anthony]]</f>
        <v>11839.751266666686</v>
      </c>
    </row>
    <row r="216" spans="1:12" x14ac:dyDescent="0.2">
      <c r="A216" s="18">
        <v>46098</v>
      </c>
      <c r="B216" s="19">
        <v>-5.7</v>
      </c>
      <c r="C216" s="20">
        <v>1</v>
      </c>
      <c r="D216" s="20">
        <f t="shared" si="9"/>
        <v>0</v>
      </c>
      <c r="E216" s="26">
        <f t="shared" si="10"/>
        <v>-5.7</v>
      </c>
      <c r="F216" s="26">
        <f t="shared" si="11"/>
        <v>0</v>
      </c>
      <c r="G216" t="s">
        <v>250</v>
      </c>
      <c r="H216" t="s">
        <v>91</v>
      </c>
      <c r="I216" s="22" t="s">
        <v>5</v>
      </c>
      <c r="J216" s="19">
        <f>IF(Table2[[#This Row],[Total Amount]]="","",J215+Table2[[#This Row],[Total Amount]])</f>
        <v>940.36999999999955</v>
      </c>
      <c r="K216" s="24">
        <f>K215+Table2[[#This Row],[$ Nemjay]]</f>
        <v>-10904.381266666676</v>
      </c>
      <c r="L216" s="24">
        <f>L215+Table2[[#This Row],[$ Anthony]]</f>
        <v>11839.751266666686</v>
      </c>
    </row>
    <row r="217" spans="1:12" x14ac:dyDescent="0.2">
      <c r="A217" s="18">
        <v>46099</v>
      </c>
      <c r="B217" s="19">
        <v>-20.09</v>
      </c>
      <c r="C217" s="20">
        <v>0</v>
      </c>
      <c r="D217" s="20">
        <f t="shared" si="9"/>
        <v>1</v>
      </c>
      <c r="E217" s="26">
        <f t="shared" si="10"/>
        <v>0</v>
      </c>
      <c r="F217" s="26">
        <f t="shared" si="11"/>
        <v>-20.09</v>
      </c>
      <c r="G217" t="s">
        <v>251</v>
      </c>
      <c r="H217" t="s">
        <v>252</v>
      </c>
      <c r="I217" s="22" t="s">
        <v>7</v>
      </c>
      <c r="J217" s="19">
        <f>IF(Table2[[#This Row],[Total Amount]]="","",J216+Table2[[#This Row],[Total Amount]])</f>
        <v>920.27999999999952</v>
      </c>
      <c r="K217" s="24">
        <f>K216+Table2[[#This Row],[$ Nemjay]]</f>
        <v>-10904.381266666676</v>
      </c>
      <c r="L217" s="24">
        <f>L216+Table2[[#This Row],[$ Anthony]]</f>
        <v>11819.661266666686</v>
      </c>
    </row>
    <row r="218" spans="1:12" x14ac:dyDescent="0.2">
      <c r="A218" s="18">
        <v>46099</v>
      </c>
      <c r="B218" s="19">
        <v>-21.09</v>
      </c>
      <c r="C218" s="20">
        <v>0</v>
      </c>
      <c r="D218" s="20">
        <f t="shared" si="9"/>
        <v>1</v>
      </c>
      <c r="E218" s="26">
        <f t="shared" si="10"/>
        <v>0</v>
      </c>
      <c r="F218" s="26">
        <f t="shared" si="11"/>
        <v>-21.09</v>
      </c>
      <c r="G218" t="s">
        <v>253</v>
      </c>
      <c r="I218" s="22" t="s">
        <v>7</v>
      </c>
      <c r="J218" s="19">
        <f>IF(Table2[[#This Row],[Total Amount]]="","",J217+Table2[[#This Row],[Total Amount]])</f>
        <v>899.18999999999949</v>
      </c>
      <c r="K218" s="24">
        <f>K217+Table2[[#This Row],[$ Nemjay]]</f>
        <v>-10904.381266666676</v>
      </c>
      <c r="L218" s="24">
        <f>L217+Table2[[#This Row],[$ Anthony]]</f>
        <v>11798.571266666686</v>
      </c>
    </row>
    <row r="219" spans="1:12" x14ac:dyDescent="0.2">
      <c r="A219" s="18">
        <v>46099</v>
      </c>
      <c r="B219" s="19">
        <v>-10</v>
      </c>
      <c r="C219" s="20">
        <v>1</v>
      </c>
      <c r="D219" s="20">
        <f t="shared" si="9"/>
        <v>0</v>
      </c>
      <c r="E219" s="26">
        <f t="shared" si="10"/>
        <v>-10</v>
      </c>
      <c r="F219" s="26">
        <f t="shared" si="11"/>
        <v>0</v>
      </c>
      <c r="G219" t="s">
        <v>208</v>
      </c>
      <c r="I219" s="22" t="s">
        <v>10</v>
      </c>
      <c r="J219" s="19">
        <f>IF(Table2[[#This Row],[Total Amount]]="","",J218+Table2[[#This Row],[Total Amount]])</f>
        <v>889.18999999999949</v>
      </c>
      <c r="K219" s="24">
        <f>K218+Table2[[#This Row],[$ Nemjay]]</f>
        <v>-10914.381266666676</v>
      </c>
      <c r="L219" s="24">
        <f>L218+Table2[[#This Row],[$ Anthony]]</f>
        <v>11798.571266666686</v>
      </c>
    </row>
    <row r="220" spans="1:12" x14ac:dyDescent="0.2">
      <c r="A220" s="18">
        <v>46099</v>
      </c>
      <c r="B220" s="19">
        <v>-32.47</v>
      </c>
      <c r="C220" s="20">
        <v>0</v>
      </c>
      <c r="D220" s="20">
        <f t="shared" si="9"/>
        <v>1</v>
      </c>
      <c r="E220" s="26">
        <f t="shared" si="10"/>
        <v>0</v>
      </c>
      <c r="F220" s="26">
        <f t="shared" si="11"/>
        <v>-32.47</v>
      </c>
      <c r="G220" t="s">
        <v>254</v>
      </c>
      <c r="H220" t="s">
        <v>255</v>
      </c>
      <c r="I220" s="22" t="s">
        <v>4</v>
      </c>
      <c r="J220" s="19">
        <f>IF(Table2[[#This Row],[Total Amount]]="","",J219+Table2[[#This Row],[Total Amount]])</f>
        <v>856.71999999999946</v>
      </c>
      <c r="K220" s="24">
        <f>K219+Table2[[#This Row],[$ Nemjay]]</f>
        <v>-10914.381266666676</v>
      </c>
      <c r="L220" s="24">
        <f>L219+Table2[[#This Row],[$ Anthony]]</f>
        <v>11766.101266666687</v>
      </c>
    </row>
    <row r="221" spans="1:12" x14ac:dyDescent="0.2">
      <c r="A221" s="18">
        <v>46099</v>
      </c>
      <c r="B221" s="19">
        <v>-15</v>
      </c>
      <c r="C221" s="20">
        <v>0</v>
      </c>
      <c r="D221" s="20">
        <f t="shared" si="9"/>
        <v>1</v>
      </c>
      <c r="E221" s="26">
        <f t="shared" si="10"/>
        <v>0</v>
      </c>
      <c r="F221" s="26">
        <f t="shared" si="11"/>
        <v>-15</v>
      </c>
      <c r="G221" t="s">
        <v>224</v>
      </c>
      <c r="I221" s="22" t="s">
        <v>10</v>
      </c>
      <c r="J221" s="19">
        <f>IF(Table2[[#This Row],[Total Amount]]="","",J220+Table2[[#This Row],[Total Amount]])</f>
        <v>841.71999999999946</v>
      </c>
      <c r="K221" s="24">
        <f>K220+Table2[[#This Row],[$ Nemjay]]</f>
        <v>-10914.381266666676</v>
      </c>
      <c r="L221" s="24">
        <f>L220+Table2[[#This Row],[$ Anthony]]</f>
        <v>11751.101266666687</v>
      </c>
    </row>
    <row r="222" spans="1:12" x14ac:dyDescent="0.2">
      <c r="A222" s="18">
        <v>46100</v>
      </c>
      <c r="B222" s="19">
        <v>-10</v>
      </c>
      <c r="C222" s="20">
        <v>1</v>
      </c>
      <c r="D222" s="20">
        <f t="shared" si="9"/>
        <v>0</v>
      </c>
      <c r="E222" s="26">
        <f t="shared" si="10"/>
        <v>-10</v>
      </c>
      <c r="F222" s="26">
        <f t="shared" si="11"/>
        <v>0</v>
      </c>
      <c r="G222" t="s">
        <v>208</v>
      </c>
      <c r="I222" s="22" t="s">
        <v>10</v>
      </c>
      <c r="J222" s="19">
        <f>IF(Table2[[#This Row],[Total Amount]]="","",J221+Table2[[#This Row],[Total Amount]])</f>
        <v>831.71999999999946</v>
      </c>
      <c r="K222" s="24">
        <f>K221+Table2[[#This Row],[$ Nemjay]]</f>
        <v>-10924.381266666676</v>
      </c>
      <c r="L222" s="24">
        <f>L221+Table2[[#This Row],[$ Anthony]]</f>
        <v>11751.101266666687</v>
      </c>
    </row>
    <row r="223" spans="1:12" x14ac:dyDescent="0.2">
      <c r="A223" s="18">
        <v>46100</v>
      </c>
      <c r="B223" s="19">
        <v>-220</v>
      </c>
      <c r="C223" s="20">
        <v>1</v>
      </c>
      <c r="D223" s="20">
        <f t="shared" si="9"/>
        <v>0</v>
      </c>
      <c r="E223" s="26">
        <f t="shared" si="10"/>
        <v>-220</v>
      </c>
      <c r="F223" s="26">
        <f t="shared" si="11"/>
        <v>0</v>
      </c>
      <c r="G223" t="s">
        <v>256</v>
      </c>
      <c r="I223" s="22" t="s">
        <v>4</v>
      </c>
      <c r="J223" s="19">
        <f>IF(Table2[[#This Row],[Total Amount]]="","",J222+Table2[[#This Row],[Total Amount]])</f>
        <v>611.71999999999946</v>
      </c>
      <c r="K223" s="24">
        <f>K222+Table2[[#This Row],[$ Nemjay]]</f>
        <v>-11144.381266666676</v>
      </c>
      <c r="L223" s="24">
        <f>L222+Table2[[#This Row],[$ Anthony]]</f>
        <v>11751.101266666687</v>
      </c>
    </row>
    <row r="224" spans="1:12" x14ac:dyDescent="0.2">
      <c r="A224" s="18">
        <v>46102</v>
      </c>
      <c r="B224" s="19">
        <v>-16</v>
      </c>
      <c r="C224" s="20">
        <v>0.5</v>
      </c>
      <c r="D224" s="20">
        <f t="shared" si="9"/>
        <v>0.5</v>
      </c>
      <c r="E224" s="26">
        <f t="shared" si="10"/>
        <v>-8</v>
      </c>
      <c r="F224" s="26">
        <f t="shared" si="11"/>
        <v>-8</v>
      </c>
      <c r="G224" t="s">
        <v>257</v>
      </c>
      <c r="I224" s="22" t="s">
        <v>5</v>
      </c>
      <c r="J224" s="19">
        <f>IF(Table2[[#This Row],[Total Amount]]="","",J223+Table2[[#This Row],[Total Amount]])</f>
        <v>595.71999999999946</v>
      </c>
      <c r="K224" s="24">
        <f>K223+Table2[[#This Row],[$ Nemjay]]</f>
        <v>-11152.381266666676</v>
      </c>
      <c r="L224" s="24">
        <f>L223+Table2[[#This Row],[$ Anthony]]</f>
        <v>11743.101266666687</v>
      </c>
    </row>
    <row r="225" spans="1:12" x14ac:dyDescent="0.2">
      <c r="A225" s="18">
        <v>46102</v>
      </c>
      <c r="B225" s="19">
        <v>-54.95</v>
      </c>
      <c r="C225" s="20">
        <v>0</v>
      </c>
      <c r="D225" s="20">
        <f t="shared" si="9"/>
        <v>1</v>
      </c>
      <c r="E225" s="26">
        <f t="shared" si="10"/>
        <v>0</v>
      </c>
      <c r="F225" s="26">
        <f t="shared" si="11"/>
        <v>-54.95</v>
      </c>
      <c r="G225" t="s">
        <v>258</v>
      </c>
      <c r="H225" t="s">
        <v>259</v>
      </c>
      <c r="I225" s="22" t="s">
        <v>8</v>
      </c>
      <c r="J225" s="19">
        <f>IF(Table2[[#This Row],[Total Amount]]="","",J224+Table2[[#This Row],[Total Amount]])</f>
        <v>540.76999999999941</v>
      </c>
      <c r="K225" s="24">
        <f>K224+Table2[[#This Row],[$ Nemjay]]</f>
        <v>-11152.381266666676</v>
      </c>
      <c r="L225" s="24">
        <f>L224+Table2[[#This Row],[$ Anthony]]</f>
        <v>11688.151266666686</v>
      </c>
    </row>
    <row r="226" spans="1:12" x14ac:dyDescent="0.2">
      <c r="A226" s="18">
        <v>46102</v>
      </c>
      <c r="B226" s="19">
        <v>-23.55</v>
      </c>
      <c r="C226" s="20">
        <v>0.5</v>
      </c>
      <c r="D226" s="20">
        <f t="shared" si="9"/>
        <v>0.5</v>
      </c>
      <c r="E226" s="26">
        <f t="shared" si="10"/>
        <v>-11.775</v>
      </c>
      <c r="F226" s="26">
        <f t="shared" si="11"/>
        <v>-11.775</v>
      </c>
      <c r="G226" t="s">
        <v>260</v>
      </c>
      <c r="I226" s="22" t="s">
        <v>6</v>
      </c>
      <c r="J226" s="19">
        <f>IF(Table2[[#This Row],[Total Amount]]="","",J225+Table2[[#This Row],[Total Amount]])</f>
        <v>517.21999999999946</v>
      </c>
      <c r="K226" s="24">
        <f>K225+Table2[[#This Row],[$ Nemjay]]</f>
        <v>-11164.156266666676</v>
      </c>
      <c r="L226" s="24">
        <f>L225+Table2[[#This Row],[$ Anthony]]</f>
        <v>11676.376266666686</v>
      </c>
    </row>
    <row r="227" spans="1:12" x14ac:dyDescent="0.2">
      <c r="A227" s="18">
        <v>46102</v>
      </c>
      <c r="B227" s="19">
        <v>1000</v>
      </c>
      <c r="C227" s="20">
        <v>1</v>
      </c>
      <c r="D227" s="20">
        <f t="shared" si="9"/>
        <v>0</v>
      </c>
      <c r="E227" s="26">
        <f t="shared" si="10"/>
        <v>1000</v>
      </c>
      <c r="F227" s="26">
        <f t="shared" si="11"/>
        <v>0</v>
      </c>
      <c r="G227" t="s">
        <v>261</v>
      </c>
      <c r="I227" s="22" t="s">
        <v>111</v>
      </c>
      <c r="J227" s="19">
        <f>IF(Table2[[#This Row],[Total Amount]]="","",J226+Table2[[#This Row],[Total Amount]])</f>
        <v>1517.2199999999993</v>
      </c>
      <c r="K227" s="24">
        <f>K226+Table2[[#This Row],[$ Nemjay]]</f>
        <v>-10164.156266666676</v>
      </c>
      <c r="L227" s="24">
        <f>L226+Table2[[#This Row],[$ Anthony]]</f>
        <v>11676.376266666686</v>
      </c>
    </row>
    <row r="228" spans="1:12" x14ac:dyDescent="0.2">
      <c r="A228" s="18">
        <v>46104</v>
      </c>
      <c r="B228" s="19">
        <v>-8.6999999999999993</v>
      </c>
      <c r="C228" s="20">
        <v>0</v>
      </c>
      <c r="D228" s="20">
        <f t="shared" si="9"/>
        <v>1</v>
      </c>
      <c r="E228" s="26">
        <f t="shared" si="10"/>
        <v>0</v>
      </c>
      <c r="F228" s="26">
        <f t="shared" si="11"/>
        <v>-8.6999999999999993</v>
      </c>
      <c r="G228" t="s">
        <v>262</v>
      </c>
      <c r="H228" t="s">
        <v>263</v>
      </c>
      <c r="I228" s="22" t="s">
        <v>11</v>
      </c>
      <c r="J228" s="19">
        <f>IF(Table2[[#This Row],[Total Amount]]="","",J227+Table2[[#This Row],[Total Amount]])</f>
        <v>1508.5199999999993</v>
      </c>
      <c r="K228" s="24">
        <f>K227+Table2[[#This Row],[$ Nemjay]]</f>
        <v>-10164.156266666676</v>
      </c>
      <c r="L228" s="24">
        <f>L227+Table2[[#This Row],[$ Anthony]]</f>
        <v>11667.676266666685</v>
      </c>
    </row>
    <row r="229" spans="1:12" x14ac:dyDescent="0.2">
      <c r="A229" s="18">
        <v>46104</v>
      </c>
      <c r="B229" s="19">
        <v>-20.28</v>
      </c>
      <c r="C229" s="20">
        <v>0</v>
      </c>
      <c r="D229" s="20">
        <f t="shared" si="9"/>
        <v>1</v>
      </c>
      <c r="E229" s="26">
        <f t="shared" si="10"/>
        <v>0</v>
      </c>
      <c r="F229" s="26">
        <f t="shared" si="11"/>
        <v>-20.28</v>
      </c>
      <c r="G229" t="s">
        <v>253</v>
      </c>
      <c r="H229" t="s">
        <v>264</v>
      </c>
      <c r="I229" s="22" t="s">
        <v>7</v>
      </c>
      <c r="J229" s="19">
        <f>IF(Table2[[#This Row],[Total Amount]]="","",J228+Table2[[#This Row],[Total Amount]])</f>
        <v>1488.2399999999993</v>
      </c>
      <c r="K229" s="24">
        <f>K228+Table2[[#This Row],[$ Nemjay]]</f>
        <v>-10164.156266666676</v>
      </c>
      <c r="L229" s="24">
        <f>L228+Table2[[#This Row],[$ Anthony]]</f>
        <v>11647.396266666685</v>
      </c>
    </row>
    <row r="230" spans="1:12" x14ac:dyDescent="0.2">
      <c r="A230" s="18">
        <v>46104</v>
      </c>
      <c r="B230" s="19">
        <v>-77.42</v>
      </c>
      <c r="C230" s="20">
        <v>0.8</v>
      </c>
      <c r="D230" s="20">
        <f t="shared" si="9"/>
        <v>0.19999999999999996</v>
      </c>
      <c r="E230" s="26">
        <f t="shared" si="10"/>
        <v>-61.936000000000007</v>
      </c>
      <c r="F230" s="26">
        <f t="shared" si="11"/>
        <v>-15.483999999999996</v>
      </c>
      <c r="G230" t="s">
        <v>234</v>
      </c>
      <c r="I230" s="22" t="s">
        <v>6</v>
      </c>
      <c r="J230" s="19">
        <f>IF(Table2[[#This Row],[Total Amount]]="","",J229+Table2[[#This Row],[Total Amount]])</f>
        <v>1410.8199999999993</v>
      </c>
      <c r="K230" s="24">
        <f>K229+Table2[[#This Row],[$ Nemjay]]</f>
        <v>-10226.092266666676</v>
      </c>
      <c r="L230" s="24">
        <f>L229+Table2[[#This Row],[$ Anthony]]</f>
        <v>11631.912266666684</v>
      </c>
    </row>
    <row r="231" spans="1:12" x14ac:dyDescent="0.2">
      <c r="A231" s="18">
        <v>46105</v>
      </c>
      <c r="B231" s="19">
        <v>-30</v>
      </c>
      <c r="C231" s="20">
        <v>0.5</v>
      </c>
      <c r="D231" s="20">
        <f t="shared" si="9"/>
        <v>0.5</v>
      </c>
      <c r="E231" s="26">
        <f t="shared" si="10"/>
        <v>-15</v>
      </c>
      <c r="F231" s="26">
        <f t="shared" si="11"/>
        <v>-15</v>
      </c>
      <c r="G231" t="s">
        <v>265</v>
      </c>
      <c r="H231" t="s">
        <v>266</v>
      </c>
      <c r="I231" s="22" t="s">
        <v>6</v>
      </c>
      <c r="J231" s="19">
        <f>IF(Table2[[#This Row],[Total Amount]]="","",J230+Table2[[#This Row],[Total Amount]])</f>
        <v>1380.8199999999993</v>
      </c>
      <c r="K231" s="24">
        <f>K230+Table2[[#This Row],[$ Nemjay]]</f>
        <v>-10241.092266666676</v>
      </c>
      <c r="L231" s="24">
        <f>L230+Table2[[#This Row],[$ Anthony]]</f>
        <v>11616.912266666684</v>
      </c>
    </row>
    <row r="232" spans="1:12" x14ac:dyDescent="0.2">
      <c r="A232" s="18">
        <v>46105</v>
      </c>
      <c r="B232" s="19">
        <v>-2500</v>
      </c>
      <c r="C232" s="20">
        <v>0.5</v>
      </c>
      <c r="D232" s="20">
        <f t="shared" si="9"/>
        <v>0.5</v>
      </c>
      <c r="E232" s="26">
        <f t="shared" si="10"/>
        <v>-1250</v>
      </c>
      <c r="F232" s="26">
        <f t="shared" si="11"/>
        <v>-1250</v>
      </c>
      <c r="G232" t="s">
        <v>267</v>
      </c>
      <c r="I232" s="22" t="s">
        <v>269</v>
      </c>
      <c r="J232" s="19">
        <f>IF(Table2[[#This Row],[Total Amount]]="","",J231+Table2[[#This Row],[Total Amount]])</f>
        <v>-1119.1800000000007</v>
      </c>
      <c r="K232" s="24">
        <f>K231+Table2[[#This Row],[$ Nemjay]]</f>
        <v>-11491.092266666676</v>
      </c>
      <c r="L232" s="24">
        <f>L231+Table2[[#This Row],[$ Anthony]]</f>
        <v>10366.912266666684</v>
      </c>
    </row>
    <row r="233" spans="1:12" x14ac:dyDescent="0.2">
      <c r="A233" s="18">
        <v>46105</v>
      </c>
      <c r="B233" s="19">
        <v>1200</v>
      </c>
      <c r="C233" s="20">
        <v>0</v>
      </c>
      <c r="D233" s="20">
        <f t="shared" si="9"/>
        <v>1</v>
      </c>
      <c r="E233" s="26">
        <f t="shared" si="10"/>
        <v>0</v>
      </c>
      <c r="F233" s="26">
        <f t="shared" si="11"/>
        <v>1200</v>
      </c>
      <c r="G233" t="s">
        <v>203</v>
      </c>
      <c r="I233" s="22" t="s">
        <v>111</v>
      </c>
      <c r="J233" s="19">
        <f>IF(Table2[[#This Row],[Total Amount]]="","",J232+Table2[[#This Row],[Total Amount]])</f>
        <v>80.819999999999254</v>
      </c>
      <c r="K233" s="24">
        <f>K232+Table2[[#This Row],[$ Nemjay]]</f>
        <v>-11491.092266666676</v>
      </c>
      <c r="L233" s="24">
        <f>L232+Table2[[#This Row],[$ Anthony]]</f>
        <v>11566.912266666684</v>
      </c>
    </row>
    <row r="234" spans="1:12" x14ac:dyDescent="0.2">
      <c r="J234" s="19" t="str">
        <f>IF(B234="","",J183+B234)</f>
        <v/>
      </c>
    </row>
    <row r="235" spans="1:12" x14ac:dyDescent="0.2">
      <c r="J235" s="19" t="str">
        <f t="shared" ref="J235:J256" si="12">IF(B235="","",J234+B235)</f>
        <v/>
      </c>
    </row>
    <row r="236" spans="1:12" x14ac:dyDescent="0.2">
      <c r="J236" s="19" t="str">
        <f t="shared" si="12"/>
        <v/>
      </c>
    </row>
    <row r="237" spans="1:12" x14ac:dyDescent="0.2">
      <c r="J237" s="19" t="str">
        <f t="shared" si="12"/>
        <v/>
      </c>
    </row>
    <row r="238" spans="1:12" x14ac:dyDescent="0.2">
      <c r="J238" s="19" t="str">
        <f t="shared" si="12"/>
        <v/>
      </c>
    </row>
    <row r="239" spans="1:12" x14ac:dyDescent="0.2">
      <c r="J239" s="19" t="str">
        <f t="shared" si="12"/>
        <v/>
      </c>
    </row>
    <row r="240" spans="1:12" x14ac:dyDescent="0.2">
      <c r="J240" s="19" t="str">
        <f t="shared" si="12"/>
        <v/>
      </c>
    </row>
    <row r="241" spans="10:10" x14ac:dyDescent="0.2">
      <c r="J241" s="19" t="str">
        <f t="shared" si="12"/>
        <v/>
      </c>
    </row>
    <row r="242" spans="10:10" x14ac:dyDescent="0.2">
      <c r="J242" s="19" t="str">
        <f t="shared" si="12"/>
        <v/>
      </c>
    </row>
    <row r="243" spans="10:10" x14ac:dyDescent="0.2">
      <c r="J243" s="19" t="str">
        <f t="shared" si="12"/>
        <v/>
      </c>
    </row>
    <row r="244" spans="10:10" x14ac:dyDescent="0.2">
      <c r="J244" s="19" t="str">
        <f t="shared" si="12"/>
        <v/>
      </c>
    </row>
    <row r="245" spans="10:10" x14ac:dyDescent="0.2">
      <c r="J245" s="19" t="str">
        <f t="shared" si="12"/>
        <v/>
      </c>
    </row>
    <row r="246" spans="10:10" x14ac:dyDescent="0.2">
      <c r="J246" s="19" t="str">
        <f t="shared" si="12"/>
        <v/>
      </c>
    </row>
    <row r="247" spans="10:10" x14ac:dyDescent="0.2">
      <c r="J247" s="19" t="str">
        <f t="shared" si="12"/>
        <v/>
      </c>
    </row>
    <row r="248" spans="10:10" x14ac:dyDescent="0.2">
      <c r="J248" s="19" t="str">
        <f t="shared" si="12"/>
        <v/>
      </c>
    </row>
    <row r="249" spans="10:10" x14ac:dyDescent="0.2">
      <c r="J249" s="19" t="str">
        <f t="shared" si="12"/>
        <v/>
      </c>
    </row>
    <row r="250" spans="10:10" x14ac:dyDescent="0.2">
      <c r="J250" s="19" t="str">
        <f t="shared" si="12"/>
        <v/>
      </c>
    </row>
    <row r="251" spans="10:10" x14ac:dyDescent="0.2">
      <c r="J251" s="19" t="str">
        <f t="shared" si="12"/>
        <v/>
      </c>
    </row>
    <row r="252" spans="10:10" x14ac:dyDescent="0.2">
      <c r="J252" s="19" t="str">
        <f t="shared" si="12"/>
        <v/>
      </c>
    </row>
    <row r="253" spans="10:10" x14ac:dyDescent="0.2">
      <c r="J253" s="19" t="str">
        <f t="shared" si="12"/>
        <v/>
      </c>
    </row>
    <row r="254" spans="10:10" x14ac:dyDescent="0.2">
      <c r="J254" s="19" t="str">
        <f t="shared" si="12"/>
        <v/>
      </c>
    </row>
    <row r="255" spans="10:10" x14ac:dyDescent="0.2">
      <c r="J255" s="19" t="str">
        <f t="shared" si="12"/>
        <v/>
      </c>
    </row>
    <row r="256" spans="10:10" x14ac:dyDescent="0.2">
      <c r="J256" s="19" t="str">
        <f t="shared" si="12"/>
        <v/>
      </c>
    </row>
  </sheetData>
  <phoneticPr fontId="7" type="noConversion"/>
  <conditionalFormatting sqref="B1:B1048576">
    <cfRule type="cellIs" dxfId="1" priority="2" operator="lessThan">
      <formula>0</formula>
    </cfRule>
    <cfRule type="cellIs" dxfId="0" priority="3" operator="greaterThan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&amp;CPage 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Analysis</vt:lpstr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Anthony Chen</cp:lastModifiedBy>
  <cp:revision>25</cp:revision>
  <dcterms:created xsi:type="dcterms:W3CDTF">2025-01-09T13:04:00Z</dcterms:created>
  <dcterms:modified xsi:type="dcterms:W3CDTF">2026-04-09T01:52:41Z</dcterms:modified>
  <dc:language>en-AU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